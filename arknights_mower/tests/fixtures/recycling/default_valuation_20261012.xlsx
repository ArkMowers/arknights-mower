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准备发给果果\"/>
    </mc:Choice>
  </mc:AlternateContent>
  <xr:revisionPtr revIDLastSave="0" documentId="13_ncr:1_{C307E704-D6B1-4902-A272-61D11FE36C73}" xr6:coauthVersionLast="47" xr6:coauthVersionMax="47" xr10:uidLastSave="{00000000-0000-0000-0000-000000000000}"/>
  <bookViews>
    <workbookView xWindow="-108" yWindow="-108" windowWidth="30456" windowHeight="19656" xr2:uid="{00000000-000D-0000-FFFF-FFFF00000000}"/>
  </bookViews>
  <sheets>
    <sheet name="在此导入" sheetId="2" r:id="rId1"/>
    <sheet name="计算表" sheetId="1" r:id="rId2"/>
    <sheet name="计算表 (2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3" i="4"/>
  <c r="F47" i="4"/>
  <c r="G46" i="4"/>
  <c r="C46" i="4"/>
  <c r="G45" i="4"/>
  <c r="C45" i="4"/>
  <c r="G44" i="4"/>
  <c r="C44" i="4"/>
  <c r="E44" i="4" s="1"/>
  <c r="G43" i="4"/>
  <c r="C43" i="4"/>
  <c r="E43" i="4" s="1"/>
  <c r="G42" i="4"/>
  <c r="C42" i="4"/>
  <c r="E42" i="4" s="1"/>
  <c r="G41" i="4"/>
  <c r="C41" i="4"/>
  <c r="E41" i="4" s="1"/>
  <c r="G40" i="4"/>
  <c r="C40" i="4"/>
  <c r="E40" i="4" s="1"/>
  <c r="G39" i="4"/>
  <c r="C39" i="4"/>
  <c r="E39" i="4" s="1"/>
  <c r="G38" i="4"/>
  <c r="C38" i="4"/>
  <c r="E38" i="4" s="1"/>
  <c r="G37" i="4"/>
  <c r="C37" i="4"/>
  <c r="E37" i="4" s="1"/>
  <c r="G36" i="4"/>
  <c r="C36" i="4"/>
  <c r="E36" i="4" s="1"/>
  <c r="G35" i="4"/>
  <c r="C35" i="4"/>
  <c r="E35" i="4" s="1"/>
  <c r="G34" i="4"/>
  <c r="C34" i="4"/>
  <c r="E34" i="4" s="1"/>
  <c r="G33" i="4"/>
  <c r="C33" i="4"/>
  <c r="E33" i="4" s="1"/>
  <c r="G32" i="4"/>
  <c r="C32" i="4"/>
  <c r="E32" i="4" s="1"/>
  <c r="G31" i="4"/>
  <c r="C31" i="4"/>
  <c r="E31" i="4" s="1"/>
  <c r="O30" i="4"/>
  <c r="G30" i="4"/>
  <c r="C30" i="4"/>
  <c r="E30" i="4" s="1"/>
  <c r="N29" i="4"/>
  <c r="P29" i="4" s="1"/>
  <c r="G29" i="4"/>
  <c r="C29" i="4"/>
  <c r="E29" i="4" s="1"/>
  <c r="N28" i="4"/>
  <c r="P28" i="4" s="1"/>
  <c r="G28" i="4"/>
  <c r="C28" i="4"/>
  <c r="E28" i="4" s="1"/>
  <c r="N27" i="4"/>
  <c r="P27" i="4" s="1"/>
  <c r="G27" i="4"/>
  <c r="C27" i="4"/>
  <c r="E27" i="4" s="1"/>
  <c r="N26" i="4"/>
  <c r="P26" i="4" s="1"/>
  <c r="G26" i="4"/>
  <c r="C26" i="4"/>
  <c r="E26" i="4" s="1"/>
  <c r="N25" i="4"/>
  <c r="P25" i="4" s="1"/>
  <c r="G25" i="4"/>
  <c r="C25" i="4"/>
  <c r="E25" i="4" s="1"/>
  <c r="N24" i="4"/>
  <c r="P24" i="4" s="1"/>
  <c r="G24" i="4"/>
  <c r="C24" i="4"/>
  <c r="E24" i="4" s="1"/>
  <c r="G23" i="4"/>
  <c r="C23" i="4"/>
  <c r="E23" i="4" s="1"/>
  <c r="G22" i="4"/>
  <c r="C22" i="4"/>
  <c r="E22" i="4" s="1"/>
  <c r="N21" i="4"/>
  <c r="P21" i="4" s="1"/>
  <c r="G21" i="4"/>
  <c r="C21" i="4"/>
  <c r="E21" i="4" s="1"/>
  <c r="N20" i="4"/>
  <c r="P20" i="4" s="1"/>
  <c r="G20" i="4"/>
  <c r="C20" i="4"/>
  <c r="E20" i="4" s="1"/>
  <c r="N19" i="4"/>
  <c r="P19" i="4" s="1"/>
  <c r="G19" i="4"/>
  <c r="C19" i="4"/>
  <c r="E19" i="4" s="1"/>
  <c r="N18" i="4"/>
  <c r="P18" i="4" s="1"/>
  <c r="G18" i="4"/>
  <c r="C18" i="4"/>
  <c r="E18" i="4" s="1"/>
  <c r="G17" i="4"/>
  <c r="C17" i="4"/>
  <c r="E17" i="4" s="1"/>
  <c r="G16" i="4"/>
  <c r="C16" i="4"/>
  <c r="E16" i="4" s="1"/>
  <c r="G15" i="4"/>
  <c r="C15" i="4"/>
  <c r="E15" i="4" s="1"/>
  <c r="G14" i="4"/>
  <c r="C14" i="4"/>
  <c r="E14" i="4" s="1"/>
  <c r="N13" i="4"/>
  <c r="P13" i="4" s="1"/>
  <c r="G13" i="4"/>
  <c r="C13" i="4"/>
  <c r="E13" i="4" s="1"/>
  <c r="G12" i="4"/>
  <c r="C12" i="4"/>
  <c r="E12" i="4" s="1"/>
  <c r="G11" i="4"/>
  <c r="C11" i="4"/>
  <c r="E11" i="4" s="1"/>
  <c r="N10" i="4"/>
  <c r="P10" i="4" s="1"/>
  <c r="G10" i="4"/>
  <c r="C10" i="4"/>
  <c r="E10" i="4" s="1"/>
  <c r="N9" i="4"/>
  <c r="P9" i="4" s="1"/>
  <c r="G9" i="4"/>
  <c r="C9" i="4"/>
  <c r="E9" i="4" s="1"/>
  <c r="N8" i="4"/>
  <c r="P8" i="4" s="1"/>
  <c r="G8" i="4"/>
  <c r="C8" i="4"/>
  <c r="E8" i="4" s="1"/>
  <c r="G7" i="4"/>
  <c r="C7" i="4"/>
  <c r="E7" i="4" s="1"/>
  <c r="N6" i="4"/>
  <c r="P6" i="4" s="1"/>
  <c r="G6" i="4"/>
  <c r="C6" i="4"/>
  <c r="E6" i="4" s="1"/>
  <c r="N5" i="4"/>
  <c r="P5" i="4" s="1"/>
  <c r="G5" i="4"/>
  <c r="C5" i="4"/>
  <c r="E5" i="4" s="1"/>
  <c r="N4" i="4"/>
  <c r="P4" i="4" s="1"/>
  <c r="G4" i="4"/>
  <c r="C4" i="4"/>
  <c r="E4" i="4" s="1"/>
  <c r="N3" i="4"/>
  <c r="P3" i="4" s="1"/>
  <c r="G3" i="4"/>
  <c r="C3" i="4"/>
  <c r="E3" i="4" s="1"/>
  <c r="G6" i="2"/>
  <c r="N25" i="1"/>
  <c r="P25" i="1" s="1"/>
  <c r="N26" i="1"/>
  <c r="P26" i="1" s="1"/>
  <c r="N27" i="1"/>
  <c r="P27" i="1" s="1"/>
  <c r="N28" i="1"/>
  <c r="P28" i="1" s="1"/>
  <c r="N29" i="1"/>
  <c r="P29" i="1" s="1"/>
  <c r="N24" i="1"/>
  <c r="P24" i="1" s="1"/>
  <c r="C46" i="1"/>
  <c r="C44" i="1"/>
  <c r="C45" i="1"/>
  <c r="C43" i="1"/>
  <c r="C42" i="1"/>
  <c r="C41" i="1"/>
  <c r="C40" i="1"/>
  <c r="C39" i="1"/>
  <c r="C30" i="1"/>
  <c r="C31" i="1"/>
  <c r="C32" i="1"/>
  <c r="C33" i="1"/>
  <c r="C34" i="1"/>
  <c r="C35" i="1"/>
  <c r="C36" i="1"/>
  <c r="C37" i="1"/>
  <c r="C38" i="1"/>
  <c r="C29" i="1"/>
  <c r="C28" i="1"/>
  <c r="C24" i="1"/>
  <c r="E24" i="1" s="1"/>
  <c r="C25" i="1"/>
  <c r="E25" i="1" s="1"/>
  <c r="C26" i="1"/>
  <c r="E26" i="1" s="1"/>
  <c r="C27" i="1"/>
  <c r="E27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2" i="1"/>
  <c r="E12" i="1" s="1"/>
  <c r="C13" i="1"/>
  <c r="E13" i="1" s="1"/>
  <c r="C14" i="1"/>
  <c r="E14" i="1" s="1"/>
  <c r="C15" i="1"/>
  <c r="E15" i="1" s="1"/>
  <c r="C11" i="1"/>
  <c r="E11" i="1" s="1"/>
  <c r="C10" i="1"/>
  <c r="C9" i="1"/>
  <c r="C8" i="1"/>
  <c r="E8" i="1" s="1"/>
  <c r="C5" i="1"/>
  <c r="E5" i="1" s="1"/>
  <c r="C6" i="1"/>
  <c r="E6" i="1" s="1"/>
  <c r="C7" i="1"/>
  <c r="E7" i="1" s="1"/>
  <c r="C4" i="1"/>
  <c r="E4" i="1" s="1"/>
  <c r="C3" i="1"/>
  <c r="E3" i="1" s="1"/>
  <c r="F47" i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O30" i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N14" i="4" l="1"/>
  <c r="P14" i="4" s="1"/>
  <c r="N15" i="4"/>
  <c r="P15" i="4" s="1"/>
  <c r="N16" i="4"/>
  <c r="P16" i="4" s="1"/>
  <c r="N11" i="4"/>
  <c r="P11" i="4" s="1"/>
  <c r="N17" i="4"/>
  <c r="P17" i="4" s="1"/>
  <c r="N12" i="4"/>
  <c r="P12" i="4" s="1"/>
  <c r="P30" i="4" s="1"/>
  <c r="N7" i="4"/>
  <c r="P7" i="4" s="1"/>
  <c r="E46" i="4"/>
  <c r="N23" i="4"/>
  <c r="P23" i="4" s="1"/>
  <c r="E45" i="4"/>
  <c r="N22" i="4"/>
  <c r="P22" i="4" s="1"/>
  <c r="G47" i="4"/>
  <c r="E47" i="4"/>
  <c r="E46" i="1"/>
  <c r="N23" i="1"/>
  <c r="P23" i="1" s="1"/>
  <c r="E44" i="1"/>
  <c r="N21" i="1"/>
  <c r="P21" i="1" s="1"/>
  <c r="N22" i="1"/>
  <c r="P22" i="1" s="1"/>
  <c r="E45" i="1"/>
  <c r="E43" i="1"/>
  <c r="N20" i="1"/>
  <c r="P20" i="1" s="1"/>
  <c r="E42" i="1"/>
  <c r="N19" i="1"/>
  <c r="P19" i="1" s="1"/>
  <c r="E41" i="1"/>
  <c r="N18" i="1"/>
  <c r="P18" i="1" s="1"/>
  <c r="E40" i="1"/>
  <c r="N17" i="1"/>
  <c r="P17" i="1" s="1"/>
  <c r="E39" i="1"/>
  <c r="N16" i="1"/>
  <c r="P16" i="1" s="1"/>
  <c r="N7" i="1"/>
  <c r="P7" i="1" s="1"/>
  <c r="E30" i="1"/>
  <c r="N8" i="1"/>
  <c r="P8" i="1" s="1"/>
  <c r="E31" i="1"/>
  <c r="N9" i="1"/>
  <c r="P9" i="1" s="1"/>
  <c r="E32" i="1"/>
  <c r="N10" i="1"/>
  <c r="P10" i="1" s="1"/>
  <c r="E33" i="1"/>
  <c r="N11" i="1"/>
  <c r="P11" i="1" s="1"/>
  <c r="E34" i="1"/>
  <c r="N12" i="1"/>
  <c r="P12" i="1" s="1"/>
  <c r="E35" i="1"/>
  <c r="N13" i="1"/>
  <c r="P13" i="1" s="1"/>
  <c r="E36" i="1"/>
  <c r="N14" i="1"/>
  <c r="P14" i="1" s="1"/>
  <c r="E37" i="1"/>
  <c r="N15" i="1"/>
  <c r="P15" i="1" s="1"/>
  <c r="E38" i="1"/>
  <c r="E29" i="1"/>
  <c r="N6" i="1"/>
  <c r="P6" i="1" s="1"/>
  <c r="E28" i="1"/>
  <c r="N5" i="1"/>
  <c r="P5" i="1" s="1"/>
  <c r="E10" i="1"/>
  <c r="N4" i="1"/>
  <c r="P4" i="1" s="1"/>
  <c r="E9" i="1"/>
  <c r="N3" i="1"/>
  <c r="P3" i="1" s="1"/>
  <c r="H3" i="1"/>
  <c r="G47" i="1"/>
  <c r="H47" i="1"/>
  <c r="I18" i="4" l="1"/>
  <c r="I19" i="4"/>
  <c r="I20" i="4"/>
  <c r="I30" i="4"/>
  <c r="I31" i="4"/>
  <c r="I32" i="4"/>
  <c r="I34" i="4"/>
  <c r="I15" i="4"/>
  <c r="J15" i="4" s="1"/>
  <c r="I35" i="4"/>
  <c r="I36" i="4"/>
  <c r="I46" i="4"/>
  <c r="J46" i="4" s="1"/>
  <c r="I3" i="4"/>
  <c r="I14" i="4"/>
  <c r="J14" i="4" s="1"/>
  <c r="I16" i="4"/>
  <c r="J16" i="4" s="1"/>
  <c r="I17" i="4"/>
  <c r="J17" i="4" s="1"/>
  <c r="I37" i="4"/>
  <c r="J37" i="4" s="1"/>
  <c r="I45" i="4"/>
  <c r="I25" i="4"/>
  <c r="I5" i="4"/>
  <c r="I9" i="4"/>
  <c r="J9" i="4" s="1"/>
  <c r="I13" i="4"/>
  <c r="J13" i="4" s="1"/>
  <c r="I4" i="4"/>
  <c r="I24" i="4"/>
  <c r="I22" i="4"/>
  <c r="J22" i="4" s="1"/>
  <c r="I41" i="4"/>
  <c r="J41" i="4" s="1"/>
  <c r="I21" i="4"/>
  <c r="I29" i="4"/>
  <c r="I40" i="4"/>
  <c r="J40" i="4" s="1"/>
  <c r="I44" i="4"/>
  <c r="I26" i="4"/>
  <c r="J26" i="4" s="1"/>
  <c r="I28" i="4"/>
  <c r="J28" i="4" s="1"/>
  <c r="I8" i="4"/>
  <c r="J8" i="4" s="1"/>
  <c r="I12" i="4"/>
  <c r="I39" i="4"/>
  <c r="I42" i="4"/>
  <c r="I43" i="4"/>
  <c r="I23" i="4"/>
  <c r="I27" i="4"/>
  <c r="I7" i="4"/>
  <c r="I38" i="4"/>
  <c r="J38" i="4" s="1"/>
  <c r="I10" i="4"/>
  <c r="J10" i="4" s="1"/>
  <c r="I11" i="4"/>
  <c r="J11" i="4" s="1"/>
  <c r="I6" i="4"/>
  <c r="I33" i="4"/>
  <c r="J4" i="4"/>
  <c r="J5" i="4"/>
  <c r="J6" i="4"/>
  <c r="J7" i="4"/>
  <c r="J18" i="4"/>
  <c r="J24" i="4"/>
  <c r="J27" i="4"/>
  <c r="J29" i="4"/>
  <c r="J31" i="4"/>
  <c r="J32" i="4"/>
  <c r="J33" i="4"/>
  <c r="J44" i="4"/>
  <c r="J45" i="4"/>
  <c r="J19" i="4"/>
  <c r="J12" i="4"/>
  <c r="J20" i="4"/>
  <c r="J21" i="4"/>
  <c r="J23" i="4"/>
  <c r="J25" i="4"/>
  <c r="J30" i="4"/>
  <c r="J34" i="4"/>
  <c r="J35" i="4"/>
  <c r="J36" i="4"/>
  <c r="J39" i="4"/>
  <c r="J42" i="4"/>
  <c r="J43" i="4"/>
  <c r="R30" i="4"/>
  <c r="P30" i="1"/>
  <c r="I3" i="1" s="1"/>
  <c r="E47" i="1"/>
  <c r="J3" i="4" l="1"/>
  <c r="J47" i="4" s="1"/>
  <c r="C49" i="4" s="1"/>
  <c r="K17" i="2" s="1"/>
  <c r="I47" i="4"/>
  <c r="I34" i="1"/>
  <c r="J34" i="1" s="1"/>
  <c r="I31" i="1"/>
  <c r="J31" i="1" s="1"/>
  <c r="I30" i="1"/>
  <c r="J30" i="1" s="1"/>
  <c r="I29" i="1"/>
  <c r="J29" i="1" s="1"/>
  <c r="I28" i="1"/>
  <c r="J28" i="1" s="1"/>
  <c r="I33" i="1"/>
  <c r="J33" i="1" s="1"/>
  <c r="I26" i="1"/>
  <c r="J26" i="1" s="1"/>
  <c r="I25" i="1"/>
  <c r="J25" i="1" s="1"/>
  <c r="I37" i="1"/>
  <c r="J37" i="1" s="1"/>
  <c r="I36" i="1"/>
  <c r="J36" i="1" s="1"/>
  <c r="I35" i="1"/>
  <c r="J35" i="1" s="1"/>
  <c r="I32" i="1"/>
  <c r="J32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27" i="1"/>
  <c r="J27" i="1" s="1"/>
  <c r="I22" i="1"/>
  <c r="J22" i="1" s="1"/>
  <c r="I15" i="1"/>
  <c r="J15" i="1" s="1"/>
  <c r="I11" i="1"/>
  <c r="J11" i="1" s="1"/>
  <c r="I24" i="1"/>
  <c r="J24" i="1" s="1"/>
  <c r="I21" i="1"/>
  <c r="J21" i="1" s="1"/>
  <c r="I38" i="1"/>
  <c r="J38" i="1" s="1"/>
  <c r="I23" i="1"/>
  <c r="J23" i="1" s="1"/>
  <c r="I14" i="1"/>
  <c r="J14" i="1" s="1"/>
  <c r="I20" i="1"/>
  <c r="J20" i="1" s="1"/>
  <c r="I19" i="1"/>
  <c r="J19" i="1" s="1"/>
  <c r="I17" i="1"/>
  <c r="J17" i="1" s="1"/>
  <c r="I16" i="1"/>
  <c r="J16" i="1" s="1"/>
  <c r="I13" i="1"/>
  <c r="J13" i="1" s="1"/>
  <c r="I12" i="1"/>
  <c r="J12" i="1" s="1"/>
  <c r="R30" i="1"/>
  <c r="I6" i="1"/>
  <c r="J6" i="1" s="1"/>
  <c r="I10" i="1"/>
  <c r="J10" i="1" s="1"/>
  <c r="I4" i="1"/>
  <c r="J4" i="1" s="1"/>
  <c r="I5" i="1"/>
  <c r="J5" i="1" s="1"/>
  <c r="I8" i="1"/>
  <c r="J8" i="1" s="1"/>
  <c r="I7" i="1"/>
  <c r="J7" i="1" s="1"/>
  <c r="I9" i="1"/>
  <c r="J9" i="1" s="1"/>
  <c r="I46" i="1"/>
  <c r="J46" i="1" s="1"/>
  <c r="I18" i="1"/>
  <c r="J18" i="1" s="1"/>
  <c r="F50" i="4" l="1"/>
  <c r="F51" i="4" s="1"/>
  <c r="F52" i="4" s="1"/>
  <c r="F53" i="4" s="1"/>
  <c r="I18" i="2" s="1"/>
  <c r="C50" i="4"/>
  <c r="C51" i="4" s="1"/>
  <c r="C52" i="4" s="1"/>
  <c r="C53" i="4" s="1"/>
  <c r="I19" i="2" s="1"/>
  <c r="J3" i="1"/>
  <c r="J47" i="1" s="1"/>
  <c r="C49" i="1" s="1"/>
  <c r="I47" i="1"/>
  <c r="F50" i="1" l="1"/>
  <c r="F51" i="1" s="1"/>
  <c r="F52" i="1" s="1"/>
  <c r="F53" i="1" s="1"/>
  <c r="I13" i="2" s="1"/>
  <c r="C50" i="1"/>
  <c r="C51" i="1" s="1"/>
  <c r="C52" i="1" s="1"/>
  <c r="C53" i="1" s="1"/>
  <c r="I14" i="2" s="1"/>
  <c r="K12" i="2"/>
</calcChain>
</file>

<file path=xl/sharedStrings.xml><?xml version="1.0" encoding="utf-8"?>
<sst xmlns="http://schemas.openxmlformats.org/spreadsheetml/2006/main" count="536" uniqueCount="338">
  <si>
    <t>绿材料</t>
  </si>
  <si>
    <t>装置</t>
  </si>
  <si>
    <t>酮凝集</t>
  </si>
  <si>
    <t>异铁</t>
  </si>
  <si>
    <t>聚酸酯</t>
  </si>
  <si>
    <t>糖</t>
  </si>
  <si>
    <t>固源岩</t>
  </si>
  <si>
    <t>材料名</t>
  </si>
  <si>
    <t>理智价值</t>
  </si>
  <si>
    <t>权重</t>
  </si>
  <si>
    <t>单独2种紫材料</t>
  </si>
  <si>
    <t>聚酸酯组</t>
  </si>
  <si>
    <t>聚酸酯块</t>
  </si>
  <si>
    <t>糖聚块</t>
  </si>
  <si>
    <t>其余紫材料</t>
  </si>
  <si>
    <t>手性屈光体</t>
  </si>
  <si>
    <t>液化醚吸聚体</t>
  </si>
  <si>
    <t>聚能动力单元</t>
  </si>
  <si>
    <t>异铁块</t>
  </si>
  <si>
    <t>环烃预制体</t>
  </si>
  <si>
    <t>酮阵列</t>
  </si>
  <si>
    <t>改量装置</t>
  </si>
  <si>
    <t>RMA70-24</t>
  </si>
  <si>
    <t>五水研磨石</t>
  </si>
  <si>
    <t>固化纤维板</t>
  </si>
  <si>
    <t>晶体电路</t>
  </si>
  <si>
    <t>炽合金块</t>
  </si>
  <si>
    <t>精炼溶剂</t>
  </si>
  <si>
    <t>切削原液</t>
  </si>
  <si>
    <t>转质盐聚块</t>
  </si>
  <si>
    <t>聚合凝胶</t>
  </si>
  <si>
    <t>三水锰矿</t>
  </si>
  <si>
    <t>提纯源岩</t>
  </si>
  <si>
    <t>白马醇</t>
  </si>
  <si>
    <t>金材料</t>
  </si>
  <si>
    <t>晶体电子单元</t>
  </si>
  <si>
    <t>烧结核凝晶</t>
  </si>
  <si>
    <t>聚合剂</t>
  </si>
  <si>
    <t>D32钢</t>
  </si>
  <si>
    <t>双极纳米片</t>
  </si>
  <si>
    <t>重相位对映体</t>
  </si>
  <si>
    <t>单独紫土</t>
  </si>
  <si>
    <t>环烃聚质</t>
  </si>
  <si>
    <t>类凝结核</t>
  </si>
  <si>
    <t>液化高能气体</t>
  </si>
  <si>
    <t>电极单元</t>
  </si>
  <si>
    <t>全新装置</t>
  </si>
  <si>
    <t>褐素纤维</t>
  </si>
  <si>
    <t>转质盐组</t>
  </si>
  <si>
    <t>化合切削液</t>
  </si>
  <si>
    <t>凝胶</t>
  </si>
  <si>
    <t>半自然溶剂</t>
  </si>
  <si>
    <t>酮凝集组</t>
  </si>
  <si>
    <t>异铁组</t>
  </si>
  <si>
    <t>炽合金</t>
  </si>
  <si>
    <t>糖组</t>
  </si>
  <si>
    <t>晶体元件</t>
  </si>
  <si>
    <t>固源岩组</t>
  </si>
  <si>
    <t>总计</t>
  </si>
  <si>
    <t>回收站池子1权重</t>
  </si>
  <si>
    <t>回收站池子2权重</t>
  </si>
  <si>
    <t>理智</t>
  </si>
  <si>
    <t>积分</t>
  </si>
  <si>
    <t>期望积分</t>
  </si>
  <si>
    <t>池子2摸奖次数</t>
  </si>
  <si>
    <t>池子2摸奖理智</t>
  </si>
  <si>
    <t>蓝材料(不含4中坚)</t>
  </si>
  <si>
    <t>总理智</t>
  </si>
  <si>
    <t>物品名称</t>
  </si>
  <si>
    <t>等效理智</t>
  </si>
  <si>
    <t>RMA70-12</t>
  </si>
  <si>
    <t>研磨石</t>
  </si>
  <si>
    <t>轻锰矿</t>
  </si>
  <si>
    <t>扭转醇</t>
  </si>
  <si>
    <t>破损装置</t>
  </si>
  <si>
    <t>双酮</t>
  </si>
  <si>
    <t>异铁碎片</t>
  </si>
  <si>
    <t>酯原料</t>
  </si>
  <si>
    <t>代糖</t>
  </si>
  <si>
    <t>源岩</t>
  </si>
  <si>
    <t>100%回收=</t>
    <phoneticPr fontId="5" type="noConversion"/>
  </si>
  <si>
    <t>理智/天</t>
    <phoneticPr fontId="5" type="noConversion"/>
  </si>
  <si>
    <t>精二旅骨效率=</t>
    <phoneticPr fontId="5" type="noConversion"/>
  </si>
  <si>
    <t>物品id</t>
  </si>
  <si>
    <t>物品稀有度</t>
  </si>
  <si>
    <t>30145</t>
  </si>
  <si>
    <t>30155</t>
  </si>
  <si>
    <t>30115</t>
  </si>
  <si>
    <t>30135</t>
  </si>
  <si>
    <t>30125</t>
  </si>
  <si>
    <t>30165</t>
  </si>
  <si>
    <t>31094</t>
  </si>
  <si>
    <t>31104</t>
  </si>
  <si>
    <t>31114</t>
  </si>
  <si>
    <t>30044</t>
  </si>
  <si>
    <t>31084</t>
  </si>
  <si>
    <t>30054</t>
  </si>
  <si>
    <t>30064</t>
  </si>
  <si>
    <t>30104</t>
  </si>
  <si>
    <t>30094</t>
  </si>
  <si>
    <t>31074</t>
  </si>
  <si>
    <t>30024</t>
  </si>
  <si>
    <t>31034</t>
  </si>
  <si>
    <t>31024</t>
  </si>
  <si>
    <t>31044</t>
  </si>
  <si>
    <t>31054</t>
  </si>
  <si>
    <t>31064</t>
  </si>
  <si>
    <t>31014</t>
  </si>
  <si>
    <t>30084</t>
  </si>
  <si>
    <t>30034</t>
  </si>
  <si>
    <t>30014</t>
  </si>
  <si>
    <t>30074</t>
  </si>
  <si>
    <t>31083</t>
  </si>
  <si>
    <t>31093</t>
  </si>
  <si>
    <t>31103</t>
  </si>
  <si>
    <t>31113</t>
  </si>
  <si>
    <t>30063</t>
  </si>
  <si>
    <t>30103</t>
  </si>
  <si>
    <t>31073</t>
  </si>
  <si>
    <t>31063</t>
  </si>
  <si>
    <t>30093</t>
  </si>
  <si>
    <t>31053</t>
  </si>
  <si>
    <t>31013</t>
  </si>
  <si>
    <t>31043</t>
  </si>
  <si>
    <t>30083</t>
  </si>
  <si>
    <t>30053</t>
  </si>
  <si>
    <t>30043</t>
  </si>
  <si>
    <t>30073</t>
  </si>
  <si>
    <t>31023</t>
  </si>
  <si>
    <t>30033</t>
  </si>
  <si>
    <t>30023</t>
  </si>
  <si>
    <t>31033</t>
  </si>
  <si>
    <t>30013</t>
  </si>
  <si>
    <t>30062</t>
  </si>
  <si>
    <t>30052</t>
  </si>
  <si>
    <t>30042</t>
  </si>
  <si>
    <t>30032</t>
  </si>
  <si>
    <t>30022</t>
  </si>
  <si>
    <t>30012</t>
  </si>
  <si>
    <t>30061</t>
  </si>
  <si>
    <t>30051</t>
  </si>
  <si>
    <t>30041</t>
  </si>
  <si>
    <t>30031</t>
  </si>
  <si>
    <t>30021</t>
  </si>
  <si>
    <t>30011</t>
  </si>
  <si>
    <t>2004</t>
  </si>
  <si>
    <t>高级作战记录</t>
  </si>
  <si>
    <t>2003</t>
  </si>
  <si>
    <t>中级作战记录</t>
  </si>
  <si>
    <t>2002</t>
  </si>
  <si>
    <t>初级作战记录</t>
  </si>
  <si>
    <t>2001</t>
  </si>
  <si>
    <t>基础作战记录</t>
  </si>
  <si>
    <t>4001</t>
  </si>
  <si>
    <t>龙门币</t>
  </si>
  <si>
    <t>3301</t>
  </si>
  <si>
    <t>技巧概要·卷1</t>
  </si>
  <si>
    <t>3302</t>
  </si>
  <si>
    <t>技巧概要·卷2</t>
  </si>
  <si>
    <t>3303</t>
  </si>
  <si>
    <t>技巧概要·卷3</t>
  </si>
  <si>
    <t>3003</t>
  </si>
  <si>
    <t>赤金</t>
  </si>
  <si>
    <t>3261</t>
  </si>
  <si>
    <t>医疗芯片</t>
  </si>
  <si>
    <t>3271</t>
  </si>
  <si>
    <t>辅助芯片</t>
  </si>
  <si>
    <t>3211</t>
  </si>
  <si>
    <t>先锋芯片</t>
  </si>
  <si>
    <t>3281</t>
  </si>
  <si>
    <t>特种芯片</t>
  </si>
  <si>
    <t>3221</t>
  </si>
  <si>
    <t>近卫芯片</t>
  </si>
  <si>
    <t>3231</t>
  </si>
  <si>
    <t>重装芯片</t>
  </si>
  <si>
    <t>3241</t>
  </si>
  <si>
    <t>狙击芯片</t>
  </si>
  <si>
    <t>3251</t>
  </si>
  <si>
    <t>术师芯片</t>
  </si>
  <si>
    <t>3262</t>
  </si>
  <si>
    <t>医疗芯片组</t>
  </si>
  <si>
    <t>3272</t>
  </si>
  <si>
    <t>辅助芯片组</t>
  </si>
  <si>
    <t>3212</t>
  </si>
  <si>
    <t>先锋芯片组</t>
  </si>
  <si>
    <t>3282</t>
  </si>
  <si>
    <t>特种芯片组</t>
  </si>
  <si>
    <t>3222</t>
  </si>
  <si>
    <t>近卫芯片组</t>
  </si>
  <si>
    <t>3232</t>
  </si>
  <si>
    <t>重装芯片组</t>
  </si>
  <si>
    <t>3242</t>
  </si>
  <si>
    <t>狙击芯片组</t>
  </si>
  <si>
    <t>3252</t>
  </si>
  <si>
    <t>术师芯片组</t>
  </si>
  <si>
    <t>3263</t>
  </si>
  <si>
    <t>医疗双芯片</t>
  </si>
  <si>
    <t>3273</t>
  </si>
  <si>
    <t>辅助双芯片</t>
  </si>
  <si>
    <t>3213</t>
  </si>
  <si>
    <t>先锋双芯片</t>
  </si>
  <si>
    <t>3283</t>
  </si>
  <si>
    <t>特种双芯片</t>
  </si>
  <si>
    <t>3223</t>
  </si>
  <si>
    <t>近卫双芯片</t>
  </si>
  <si>
    <t>3233</t>
  </si>
  <si>
    <t>重装双芯片</t>
  </si>
  <si>
    <t>3243</t>
  </si>
  <si>
    <t>狙击双芯片</t>
  </si>
  <si>
    <t>3253</t>
  </si>
  <si>
    <t>术师双芯片</t>
  </si>
  <si>
    <t>4003</t>
  </si>
  <si>
    <t>合成玉</t>
  </si>
  <si>
    <t>7003</t>
  </si>
  <si>
    <t>寻访凭证</t>
  </si>
  <si>
    <t>7004</t>
  </si>
  <si>
    <t>十连寻访凭证</t>
  </si>
  <si>
    <t>4002</t>
  </si>
  <si>
    <t>至纯源石</t>
  </si>
  <si>
    <t>classic_gacha</t>
  </si>
  <si>
    <t>中坚寻访凭证</t>
  </si>
  <si>
    <t>classic_gacha_10</t>
  </si>
  <si>
    <t>十连中坚寻访凭证</t>
  </si>
  <si>
    <t>7001</t>
  </si>
  <si>
    <t>招聘许可</t>
  </si>
  <si>
    <t>4006</t>
  </si>
  <si>
    <t>采购凭证</t>
  </si>
  <si>
    <t>32001</t>
  </si>
  <si>
    <t>芯片助剂</t>
  </si>
  <si>
    <t>mod_unlock_token</t>
  </si>
  <si>
    <t>模组数据块</t>
  </si>
  <si>
    <t>STORY_REVIEW_COIN</t>
  </si>
  <si>
    <t>事相碎片</t>
  </si>
  <si>
    <t>4004</t>
  </si>
  <si>
    <t xml:space="preserve">高级凭证 </t>
  </si>
  <si>
    <t>4005</t>
  </si>
  <si>
    <t>资质凭证</t>
  </si>
  <si>
    <t>7002</t>
  </si>
  <si>
    <t>加急许可</t>
  </si>
  <si>
    <t>base_ap</t>
  </si>
  <si>
    <t>无人机</t>
  </si>
  <si>
    <t>3112</t>
  </si>
  <si>
    <t>碳</t>
  </si>
  <si>
    <t>3113</t>
  </si>
  <si>
    <t>碳素</t>
  </si>
  <si>
    <t>3114</t>
  </si>
  <si>
    <t>碳素组</t>
  </si>
  <si>
    <t>3401</t>
  </si>
  <si>
    <t>家具零件</t>
  </si>
  <si>
    <t>AP_GAMEPLAY</t>
  </si>
  <si>
    <t>voucher_levelmax_4</t>
  </si>
  <si>
    <t>专业干员特训装置</t>
  </si>
  <si>
    <t>voucher_levelmax_5</t>
  </si>
  <si>
    <t>资深干员特训装置</t>
  </si>
  <si>
    <t>voucher_levelmax_6</t>
  </si>
  <si>
    <t>高级资深干员特训装置</t>
  </si>
  <si>
    <t>voucher_elite_II_4</t>
  </si>
  <si>
    <t>专业干员特训邀请函</t>
  </si>
  <si>
    <t>voucher_elite_II_5</t>
  </si>
  <si>
    <t>资深干员特训邀请函</t>
  </si>
  <si>
    <t>voucher_elite_II_6</t>
  </si>
  <si>
    <t>高级资深干员特训邀请函</t>
  </si>
  <si>
    <t>voucher_skill_specialLevelMax_4</t>
  </si>
  <si>
    <t>专业干员技巧集</t>
  </si>
  <si>
    <t>voucher_skill_specialLevelMax_5</t>
  </si>
  <si>
    <t>资深干员技巧集</t>
  </si>
  <si>
    <t>voucher_skill_specialLevelMax_6</t>
  </si>
  <si>
    <t>高级资深干员技巧集</t>
  </si>
  <si>
    <t>voucher_skin</t>
  </si>
  <si>
    <t>时装自选凭证</t>
  </si>
  <si>
    <t>skin_15</t>
  </si>
  <si>
    <t>15源石时装</t>
  </si>
  <si>
    <t>skin_18</t>
  </si>
  <si>
    <t>18源石时装</t>
  </si>
  <si>
    <t>skin_21</t>
  </si>
  <si>
    <t>21源石时装</t>
  </si>
  <si>
    <t>skin_24</t>
  </si>
  <si>
    <t>24源石时装</t>
  </si>
  <si>
    <t>skin_27</t>
  </si>
  <si>
    <t>27源石时装</t>
  </si>
  <si>
    <t>voucher_chipPackage</t>
  </si>
  <si>
    <t>自助芯片组印刻仪</t>
  </si>
  <si>
    <t>voucher_5chipPackage</t>
  </si>
  <si>
    <t>自助芯片印刻仪</t>
  </si>
  <si>
    <t>ap_supply_lt_80</t>
  </si>
  <si>
    <t>应急理智加强剂</t>
  </si>
  <si>
    <t>avatar_special</t>
  </si>
  <si>
    <t>头像</t>
  </si>
  <si>
    <t>theme_scene</t>
  </si>
  <si>
    <t>主题场景</t>
  </si>
  <si>
    <t>UI_Theme</t>
  </si>
  <si>
    <t>界面主题</t>
  </si>
  <si>
    <t>theme_scene+UI_Theme</t>
  </si>
  <si>
    <t>主题场景+界面主题</t>
  </si>
  <si>
    <t>business_card_theme</t>
  </si>
  <si>
    <t>名片主题</t>
  </si>
  <si>
    <t>premium_material_issue_voucher</t>
  </si>
  <si>
    <t>特级材料提货券</t>
  </si>
  <si>
    <t>advanced_material_issue_voucher</t>
  </si>
  <si>
    <t>高级材料提货券</t>
  </si>
  <si>
    <t>rare_material_issue_voucher</t>
  </si>
  <si>
    <t>稀有材料提货券</t>
  </si>
  <si>
    <t>itempack_main</t>
  </si>
  <si>
    <t>罗德岛补给箱</t>
  </si>
  <si>
    <t>mod_update_token_2</t>
  </si>
  <si>
    <t>数据增补仪</t>
  </si>
  <si>
    <t>mod_update_token_1</t>
  </si>
  <si>
    <t>数据增补条</t>
  </si>
  <si>
    <t>voucher_item_pick6</t>
  </si>
  <si>
    <t>高级干员调用凭证(已废弃)</t>
  </si>
  <si>
    <t>voucher_recruitR6_pick</t>
  </si>
  <si>
    <t>高级干员调用凭证</t>
  </si>
  <si>
    <t>voucher_recruitR5_pick</t>
  </si>
  <si>
    <t>资深干员调用凭证</t>
  </si>
  <si>
    <t>voucher_class_pick6</t>
  </si>
  <si>
    <t>中坚高级干员调用凭证</t>
  </si>
  <si>
    <t>recruitment10</t>
  </si>
  <si>
    <t>新年寻访凭证</t>
  </si>
  <si>
    <t>等价于</t>
    <phoneticPr fontId="5" type="noConversion"/>
  </si>
  <si>
    <t>龙门币/天</t>
    <phoneticPr fontId="5" type="noConversion"/>
  </si>
  <si>
    <t>经验书</t>
    <phoneticPr fontId="5" type="noConversion"/>
  </si>
  <si>
    <t>经验书：赤金：订单</t>
    <phoneticPr fontId="5" type="noConversion"/>
  </si>
  <si>
    <t>赤金</t>
    <phoneticPr fontId="5" type="noConversion"/>
  </si>
  <si>
    <t>订单</t>
    <phoneticPr fontId="5" type="noConversion"/>
  </si>
  <si>
    <t>在你的定义下，回收站每100%效率每天的理智产出为</t>
    <phoneticPr fontId="5" type="noConversion"/>
  </si>
  <si>
    <t>经验/天</t>
    <phoneticPr fontId="5" type="noConversion"/>
  </si>
  <si>
    <t>制造站效率</t>
    <phoneticPr fontId="5" type="noConversion"/>
  </si>
  <si>
    <t>此时精0旅骨（20%）等价于</t>
    <phoneticPr fontId="5" type="noConversion"/>
  </si>
  <si>
    <t>精二旅骨（30%）等价于</t>
    <phoneticPr fontId="5" type="noConversion"/>
  </si>
  <si>
    <t>理智</t>
    <phoneticPr fontId="5" type="noConversion"/>
  </si>
  <si>
    <t>计算</t>
    <phoneticPr fontId="5" type="noConversion"/>
  </si>
  <si>
    <t>精零旅骨</t>
    <phoneticPr fontId="5" type="noConversion"/>
  </si>
  <si>
    <t>第一步：将你导出的一图流物品价值表Excel中的内容全部复制，覆盖粘贴到此处</t>
    <phoneticPr fontId="5" type="noConversion"/>
  </si>
  <si>
    <t>第二步：填写符合你价值观的基建产物比例（默认为理智算法）</t>
    <phoneticPr fontId="5" type="noConversion"/>
  </si>
  <si>
    <t>第三步：看结论</t>
    <phoneticPr fontId="5" type="noConversion"/>
  </si>
  <si>
    <t>由于当前回收站机制尚不完全明晰，现假设两种可能的机制</t>
    <phoneticPr fontId="5" type="noConversion"/>
  </si>
  <si>
    <t>假设1：额外池和普通池各产一次材料</t>
    <phoneticPr fontId="5" type="noConversion"/>
  </si>
  <si>
    <t>假设2：额外池材料会顶替普通池材料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</si>
</sst>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%"/>
    <numFmt numFmtId="177" formatCode="0.00000%"/>
    <numFmt numFmtId="178" formatCode="0.0000000%"/>
  </numFmts>
  <fonts count="11" x14ac:knownFonts="1">
    <font>
      <sz val="11"/>
      <name val="等线"/>
    </font>
    <font>
      <sz val="11"/>
      <color rgb="FF000000"/>
      <name val="等线"/>
      <family val="3"/>
      <charset val="134"/>
    </font>
    <font>
      <sz val="12"/>
      <name val="Calibri"/>
      <family val="2"/>
    </font>
    <font>
      <sz val="12"/>
      <color rgb="FF000000"/>
      <name val="宋体"/>
      <family val="3"/>
      <charset val="134"/>
    </font>
    <font>
      <sz val="11"/>
      <name val="等线"/>
      <family val="3"/>
      <charset val="134"/>
    </font>
    <font>
      <sz val="9"/>
      <name val="宋体"/>
      <family val="3"/>
      <charset val="134"/>
    </font>
    <font>
      <sz val="1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2"/>
      <color rgb="FFFF0000"/>
      <name val="等线"/>
      <family val="3"/>
      <charset val="134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right" vertical="center"/>
    </xf>
    <xf numFmtId="0" fontId="3" fillId="0" borderId="0" xfId="0" applyFont="1" applyAlignment="1"/>
    <xf numFmtId="0" fontId="0" fillId="0" borderId="0" xfId="0" applyAlignment="1"/>
    <xf numFmtId="0" fontId="6" fillId="0" borderId="0" xfId="0" applyFont="1">
      <alignment vertical="center"/>
    </xf>
    <xf numFmtId="0" fontId="7" fillId="0" borderId="0" xfId="0" applyFont="1" applyAlignment="1"/>
    <xf numFmtId="0" fontId="8" fillId="0" borderId="0" xfId="0" applyFont="1">
      <alignment vertical="center"/>
    </xf>
    <xf numFmtId="0" fontId="10" fillId="0" borderId="0" xfId="0" applyFont="1">
      <alignment vertical="center"/>
    </xf>
    <xf numFmtId="178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3" borderId="0" xfId="0" applyFill="1" applyAlignment="1"/>
    <xf numFmtId="0" fontId="0" fillId="3" borderId="0" xfId="0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211D-E07F-4799-9487-45C5D02099A7}">
  <dimension ref="A1:L149"/>
  <sheetViews>
    <sheetView tabSelected="1" zoomScale="145" zoomScaleNormal="145" workbookViewId="0">
      <selection activeCell="M11" sqref="M11"/>
    </sheetView>
  </sheetViews>
  <sheetFormatPr defaultRowHeight="13.8" x14ac:dyDescent="0.25"/>
  <cols>
    <col min="6" max="6" width="16.6640625" customWidth="1"/>
    <col min="9" max="9" width="9.44140625" bestFit="1" customWidth="1"/>
  </cols>
  <sheetData>
    <row r="1" spans="1:12" ht="28.05" customHeight="1" x14ac:dyDescent="0.25">
      <c r="A1" s="15" t="s">
        <v>332</v>
      </c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5" t="s">
        <v>83</v>
      </c>
      <c r="B2" s="5" t="s">
        <v>68</v>
      </c>
      <c r="C2" s="5" t="s">
        <v>69</v>
      </c>
      <c r="D2" s="5" t="s">
        <v>84</v>
      </c>
      <c r="F2" s="16" t="s">
        <v>333</v>
      </c>
      <c r="G2" s="16"/>
      <c r="H2" s="16"/>
      <c r="I2" s="16"/>
      <c r="J2" s="16"/>
      <c r="K2" s="16"/>
    </row>
    <row r="3" spans="1:12" x14ac:dyDescent="0.25">
      <c r="A3" s="5" t="s">
        <v>85</v>
      </c>
      <c r="B3" s="5" t="s">
        <v>35</v>
      </c>
      <c r="C3">
        <v>243.31303122934833</v>
      </c>
      <c r="D3" s="5">
        <v>5</v>
      </c>
      <c r="F3" s="14" t="s">
        <v>321</v>
      </c>
      <c r="G3" s="14"/>
      <c r="H3" s="14"/>
      <c r="I3" s="14"/>
      <c r="J3" s="14"/>
    </row>
    <row r="4" spans="1:12" x14ac:dyDescent="0.25">
      <c r="A4" s="5" t="s">
        <v>86</v>
      </c>
      <c r="B4" s="5" t="s">
        <v>36</v>
      </c>
      <c r="C4">
        <v>258.88598916982784</v>
      </c>
      <c r="D4" s="5">
        <v>5</v>
      </c>
      <c r="F4" s="8" t="s">
        <v>320</v>
      </c>
      <c r="G4" s="9">
        <v>1</v>
      </c>
      <c r="H4" s="8"/>
      <c r="I4" s="8"/>
      <c r="J4" s="8"/>
    </row>
    <row r="5" spans="1:12" x14ac:dyDescent="0.25">
      <c r="A5" s="5" t="s">
        <v>87</v>
      </c>
      <c r="B5" s="5" t="s">
        <v>37</v>
      </c>
      <c r="C5">
        <v>211.2126163556313</v>
      </c>
      <c r="D5" s="5">
        <v>5</v>
      </c>
      <c r="F5" s="8" t="s">
        <v>322</v>
      </c>
      <c r="G5">
        <v>0.8</v>
      </c>
    </row>
    <row r="6" spans="1:12" x14ac:dyDescent="0.25">
      <c r="A6" s="5" t="s">
        <v>88</v>
      </c>
      <c r="B6" s="5" t="s">
        <v>38</v>
      </c>
      <c r="C6">
        <v>121.54503714588637</v>
      </c>
      <c r="D6" s="5">
        <v>5</v>
      </c>
      <c r="F6" s="8" t="s">
        <v>323</v>
      </c>
      <c r="G6">
        <f>733/2990</f>
        <v>0.24515050167224081</v>
      </c>
      <c r="H6" s="6"/>
    </row>
    <row r="7" spans="1:12" x14ac:dyDescent="0.25">
      <c r="A7" s="5" t="s">
        <v>89</v>
      </c>
      <c r="B7" s="5" t="s">
        <v>39</v>
      </c>
      <c r="C7">
        <v>93.282046208458283</v>
      </c>
      <c r="D7" s="5">
        <v>5</v>
      </c>
    </row>
    <row r="8" spans="1:12" x14ac:dyDescent="0.25">
      <c r="A8" s="5" t="s">
        <v>90</v>
      </c>
      <c r="B8" s="5" t="s">
        <v>40</v>
      </c>
      <c r="C8">
        <v>304.11023290125274</v>
      </c>
      <c r="D8" s="5">
        <v>5</v>
      </c>
      <c r="F8" s="14" t="s">
        <v>334</v>
      </c>
      <c r="G8" s="14"/>
    </row>
    <row r="9" spans="1:12" x14ac:dyDescent="0.25">
      <c r="A9" s="5" t="s">
        <v>91</v>
      </c>
      <c r="B9" s="5" t="s">
        <v>15</v>
      </c>
      <c r="C9">
        <v>74.234874908310942</v>
      </c>
      <c r="D9" s="5">
        <v>4</v>
      </c>
      <c r="F9" s="14" t="s">
        <v>335</v>
      </c>
      <c r="G9" s="14"/>
      <c r="H9" s="14"/>
      <c r="I9" s="14"/>
      <c r="J9" s="14"/>
      <c r="K9" s="14"/>
    </row>
    <row r="10" spans="1:12" x14ac:dyDescent="0.25">
      <c r="A10" s="5" t="s">
        <v>92</v>
      </c>
      <c r="B10" s="5" t="s">
        <v>16</v>
      </c>
      <c r="C10">
        <v>66.228898834820782</v>
      </c>
      <c r="D10" s="5">
        <v>4</v>
      </c>
    </row>
    <row r="11" spans="1:12" x14ac:dyDescent="0.25">
      <c r="A11" s="5" t="s">
        <v>93</v>
      </c>
      <c r="B11" s="5" t="s">
        <v>17</v>
      </c>
      <c r="C11">
        <v>84.97047325811323</v>
      </c>
      <c r="D11" s="5">
        <v>4</v>
      </c>
      <c r="F11" s="14" t="s">
        <v>336</v>
      </c>
      <c r="G11" s="14"/>
      <c r="H11" s="14"/>
      <c r="I11" s="14"/>
    </row>
    <row r="12" spans="1:12" x14ac:dyDescent="0.25">
      <c r="A12" s="5" t="s">
        <v>94</v>
      </c>
      <c r="B12" s="5" t="s">
        <v>18</v>
      </c>
      <c r="C12">
        <v>95.513344810440202</v>
      </c>
      <c r="D12" s="5">
        <v>4</v>
      </c>
      <c r="F12" s="14" t="s">
        <v>324</v>
      </c>
      <c r="G12" s="14"/>
      <c r="H12" s="14"/>
      <c r="I12" s="14"/>
      <c r="J12" s="14"/>
      <c r="K12">
        <f>计算表!C49</f>
        <v>11.972960143201481</v>
      </c>
      <c r="L12" s="8" t="s">
        <v>329</v>
      </c>
    </row>
    <row r="13" spans="1:12" x14ac:dyDescent="0.25">
      <c r="A13" s="5" t="s">
        <v>95</v>
      </c>
      <c r="B13" s="5" t="s">
        <v>19</v>
      </c>
      <c r="C13">
        <v>87.081845698928745</v>
      </c>
      <c r="D13" s="5">
        <v>4</v>
      </c>
      <c r="F13" s="14" t="s">
        <v>327</v>
      </c>
      <c r="G13" s="14"/>
      <c r="H13" s="14"/>
      <c r="I13" s="12">
        <f>计算表!F53</f>
        <v>8.6899620140060918E-2</v>
      </c>
      <c r="J13" s="8" t="s">
        <v>326</v>
      </c>
    </row>
    <row r="14" spans="1:12" x14ac:dyDescent="0.25">
      <c r="A14" s="5" t="s">
        <v>96</v>
      </c>
      <c r="B14" s="5" t="s">
        <v>20</v>
      </c>
      <c r="C14">
        <v>65.802332803579134</v>
      </c>
      <c r="D14" s="5">
        <v>4</v>
      </c>
      <c r="F14" s="14" t="s">
        <v>328</v>
      </c>
      <c r="G14" s="14"/>
      <c r="H14" s="14"/>
      <c r="I14" s="11">
        <f>计算表!C53</f>
        <v>0.13034943021009138</v>
      </c>
      <c r="J14" s="8" t="s">
        <v>326</v>
      </c>
    </row>
    <row r="15" spans="1:12" x14ac:dyDescent="0.25">
      <c r="A15" s="5" t="s">
        <v>97</v>
      </c>
      <c r="B15" s="5" t="s">
        <v>21</v>
      </c>
      <c r="C15">
        <v>63.342877118062837</v>
      </c>
      <c r="D15" s="5">
        <v>4</v>
      </c>
    </row>
    <row r="16" spans="1:12" x14ac:dyDescent="0.25">
      <c r="A16" s="5" t="s">
        <v>98</v>
      </c>
      <c r="B16" s="5" t="s">
        <v>22</v>
      </c>
      <c r="C16">
        <v>55.702368708324087</v>
      </c>
      <c r="D16" s="5">
        <v>4</v>
      </c>
      <c r="F16" s="14" t="s">
        <v>337</v>
      </c>
      <c r="G16" s="14"/>
      <c r="H16" s="14"/>
      <c r="I16" s="14"/>
    </row>
    <row r="17" spans="1:12" x14ac:dyDescent="0.25">
      <c r="A17" s="5" t="s">
        <v>99</v>
      </c>
      <c r="B17" s="5" t="s">
        <v>23</v>
      </c>
      <c r="C17">
        <v>55.044824956501351</v>
      </c>
      <c r="D17" s="5">
        <v>4</v>
      </c>
      <c r="F17" s="14" t="s">
        <v>324</v>
      </c>
      <c r="G17" s="14"/>
      <c r="H17" s="14"/>
      <c r="I17" s="14"/>
      <c r="J17" s="14"/>
      <c r="K17">
        <f>'计算表 (2)'!C49</f>
        <v>11.374512896194027</v>
      </c>
      <c r="L17" s="8" t="s">
        <v>329</v>
      </c>
    </row>
    <row r="18" spans="1:12" x14ac:dyDescent="0.25">
      <c r="A18" s="5" t="s">
        <v>100</v>
      </c>
      <c r="B18" s="5" t="s">
        <v>24</v>
      </c>
      <c r="C18">
        <v>79.782119513975772</v>
      </c>
      <c r="D18" s="5">
        <v>4</v>
      </c>
      <c r="F18" s="14" t="s">
        <v>327</v>
      </c>
      <c r="G18" s="14"/>
      <c r="H18" s="14"/>
      <c r="I18" s="12">
        <f>'计算表 (2)'!F53</f>
        <v>8.2556096248156657E-2</v>
      </c>
      <c r="J18" s="8" t="s">
        <v>326</v>
      </c>
    </row>
    <row r="19" spans="1:12" x14ac:dyDescent="0.25">
      <c r="A19" s="5" t="s">
        <v>101</v>
      </c>
      <c r="B19" s="17" t="s">
        <v>13</v>
      </c>
      <c r="C19" s="18">
        <v>61.049845463273378</v>
      </c>
      <c r="D19" s="5">
        <v>4</v>
      </c>
      <c r="F19" s="14" t="s">
        <v>328</v>
      </c>
      <c r="G19" s="14"/>
      <c r="H19" s="14"/>
      <c r="I19" s="11">
        <f>'计算表 (2)'!C53</f>
        <v>0.123834144372235</v>
      </c>
      <c r="J19" s="8" t="s">
        <v>326</v>
      </c>
    </row>
    <row r="20" spans="1:12" x14ac:dyDescent="0.25">
      <c r="A20" s="5" t="s">
        <v>102</v>
      </c>
      <c r="B20" s="5" t="s">
        <v>25</v>
      </c>
      <c r="C20">
        <v>76.005607634756529</v>
      </c>
      <c r="D20" s="5">
        <v>4</v>
      </c>
    </row>
    <row r="21" spans="1:12" x14ac:dyDescent="0.25">
      <c r="A21" s="5" t="s">
        <v>103</v>
      </c>
      <c r="B21" s="5" t="s">
        <v>26</v>
      </c>
      <c r="C21">
        <v>53.480203712320225</v>
      </c>
      <c r="D21" s="5">
        <v>4</v>
      </c>
    </row>
    <row r="22" spans="1:12" x14ac:dyDescent="0.25">
      <c r="A22" s="5" t="s">
        <v>104</v>
      </c>
      <c r="B22" s="5" t="s">
        <v>27</v>
      </c>
      <c r="C22">
        <v>74.158288123613147</v>
      </c>
      <c r="D22" s="5">
        <v>4</v>
      </c>
    </row>
    <row r="23" spans="1:12" x14ac:dyDescent="0.25">
      <c r="A23" s="5" t="s">
        <v>105</v>
      </c>
      <c r="B23" s="5" t="s">
        <v>28</v>
      </c>
      <c r="C23">
        <v>49.683406352769509</v>
      </c>
      <c r="D23" s="5">
        <v>4</v>
      </c>
    </row>
    <row r="24" spans="1:12" x14ac:dyDescent="0.25">
      <c r="A24" s="5" t="s">
        <v>106</v>
      </c>
      <c r="B24" s="5" t="s">
        <v>29</v>
      </c>
      <c r="C24">
        <v>72.109488698105679</v>
      </c>
      <c r="D24" s="5">
        <v>4</v>
      </c>
    </row>
    <row r="25" spans="1:12" x14ac:dyDescent="0.25">
      <c r="A25" s="5" t="s">
        <v>107</v>
      </c>
      <c r="B25" s="5" t="s">
        <v>30</v>
      </c>
      <c r="C25">
        <v>62.52535100527259</v>
      </c>
      <c r="D25" s="5">
        <v>4</v>
      </c>
    </row>
    <row r="26" spans="1:12" x14ac:dyDescent="0.25">
      <c r="A26" s="5" t="s">
        <v>108</v>
      </c>
      <c r="B26" s="5" t="s">
        <v>31</v>
      </c>
      <c r="C26">
        <v>22.021325609334536</v>
      </c>
      <c r="D26" s="5">
        <v>4</v>
      </c>
    </row>
    <row r="27" spans="1:12" x14ac:dyDescent="0.25">
      <c r="A27" s="5" t="s">
        <v>109</v>
      </c>
      <c r="B27" s="17" t="s">
        <v>12</v>
      </c>
      <c r="C27" s="18">
        <v>60.689845463273379</v>
      </c>
      <c r="D27" s="5">
        <v>4</v>
      </c>
    </row>
    <row r="28" spans="1:12" x14ac:dyDescent="0.25">
      <c r="A28" s="5" t="s">
        <v>110</v>
      </c>
      <c r="B28" s="5" t="s">
        <v>32</v>
      </c>
      <c r="C28">
        <v>61.120420869885585</v>
      </c>
      <c r="D28" s="5">
        <v>4</v>
      </c>
    </row>
    <row r="29" spans="1:12" x14ac:dyDescent="0.25">
      <c r="A29" s="5" t="s">
        <v>111</v>
      </c>
      <c r="B29" s="5" t="s">
        <v>33</v>
      </c>
      <c r="C29">
        <v>20.581325609334531</v>
      </c>
      <c r="D29" s="5">
        <v>4</v>
      </c>
    </row>
    <row r="30" spans="1:12" x14ac:dyDescent="0.25">
      <c r="A30" s="5" t="s">
        <v>112</v>
      </c>
      <c r="B30" s="5" t="s">
        <v>42</v>
      </c>
      <c r="C30" s="5">
        <v>31.876479670612458</v>
      </c>
      <c r="D30" s="5">
        <v>3</v>
      </c>
    </row>
    <row r="31" spans="1:12" x14ac:dyDescent="0.25">
      <c r="A31" s="5" t="s">
        <v>113</v>
      </c>
      <c r="B31" s="5" t="s">
        <v>43</v>
      </c>
      <c r="C31" s="5">
        <v>26.457069628363946</v>
      </c>
      <c r="D31" s="5">
        <v>3</v>
      </c>
    </row>
    <row r="32" spans="1:12" x14ac:dyDescent="0.25">
      <c r="A32" s="5" t="s">
        <v>114</v>
      </c>
      <c r="B32" s="5" t="s">
        <v>44</v>
      </c>
      <c r="C32" s="5">
        <v>29.772151898734176</v>
      </c>
      <c r="D32" s="5">
        <v>3</v>
      </c>
    </row>
    <row r="33" spans="1:4" x14ac:dyDescent="0.25">
      <c r="A33" s="5" t="s">
        <v>115</v>
      </c>
      <c r="B33" s="5" t="s">
        <v>45</v>
      </c>
      <c r="C33" s="5">
        <v>26.544</v>
      </c>
      <c r="D33" s="5">
        <v>3</v>
      </c>
    </row>
    <row r="34" spans="1:4" x14ac:dyDescent="0.25">
      <c r="A34" s="5" t="s">
        <v>116</v>
      </c>
      <c r="B34" s="5" t="s">
        <v>46</v>
      </c>
      <c r="C34" s="5">
        <v>31.871012006861065</v>
      </c>
      <c r="D34" s="5">
        <v>3</v>
      </c>
    </row>
    <row r="35" spans="1:4" x14ac:dyDescent="0.25">
      <c r="A35" s="5" t="s">
        <v>117</v>
      </c>
      <c r="B35" s="5" t="s">
        <v>70</v>
      </c>
      <c r="C35" s="5">
        <v>2.88</v>
      </c>
      <c r="D35" s="5">
        <v>3</v>
      </c>
    </row>
    <row r="36" spans="1:4" x14ac:dyDescent="0.25">
      <c r="A36" s="5" t="s">
        <v>118</v>
      </c>
      <c r="B36" s="5" t="s">
        <v>47</v>
      </c>
      <c r="C36" s="5">
        <v>28.678499768482791</v>
      </c>
      <c r="D36" s="5">
        <v>3</v>
      </c>
    </row>
    <row r="37" spans="1:4" x14ac:dyDescent="0.25">
      <c r="A37" s="5" t="s">
        <v>119</v>
      </c>
      <c r="B37" s="5" t="s">
        <v>48</v>
      </c>
      <c r="C37" s="5">
        <v>29.743556907315511</v>
      </c>
      <c r="D37" s="5">
        <v>3</v>
      </c>
    </row>
    <row r="38" spans="1:4" x14ac:dyDescent="0.25">
      <c r="A38" s="5" t="s">
        <v>120</v>
      </c>
      <c r="B38" s="5" t="s">
        <v>71</v>
      </c>
      <c r="C38" s="5">
        <v>2.52</v>
      </c>
      <c r="D38" s="5">
        <v>3</v>
      </c>
    </row>
    <row r="39" spans="1:4" x14ac:dyDescent="0.25">
      <c r="A39" s="5" t="s">
        <v>121</v>
      </c>
      <c r="B39" s="5" t="s">
        <v>49</v>
      </c>
      <c r="C39" s="5">
        <v>26.453302961275625</v>
      </c>
      <c r="D39" s="5">
        <v>3</v>
      </c>
    </row>
    <row r="40" spans="1:4" x14ac:dyDescent="0.25">
      <c r="A40" s="5" t="s">
        <v>122</v>
      </c>
      <c r="B40" s="5" t="s">
        <v>50</v>
      </c>
      <c r="C40" s="5">
        <v>24.4570696283639</v>
      </c>
      <c r="D40" s="5">
        <v>3</v>
      </c>
    </row>
    <row r="41" spans="1:4" x14ac:dyDescent="0.25">
      <c r="A41" s="5" t="s">
        <v>123</v>
      </c>
      <c r="B41" s="5" t="s">
        <v>51</v>
      </c>
      <c r="C41" s="5">
        <v>26.464606181455636</v>
      </c>
      <c r="D41" s="5">
        <v>3</v>
      </c>
    </row>
    <row r="42" spans="1:4" x14ac:dyDescent="0.25">
      <c r="A42" s="5" t="s">
        <v>124</v>
      </c>
      <c r="B42" s="5" t="s">
        <v>72</v>
      </c>
      <c r="C42" s="5">
        <v>2.16</v>
      </c>
      <c r="D42" s="5">
        <v>3</v>
      </c>
    </row>
    <row r="43" spans="1:4" x14ac:dyDescent="0.25">
      <c r="A43" s="5" t="s">
        <v>125</v>
      </c>
      <c r="B43" s="5" t="s">
        <v>52</v>
      </c>
      <c r="C43" s="5">
        <v>23.870503597122301</v>
      </c>
      <c r="D43" s="5">
        <v>3</v>
      </c>
    </row>
    <row r="44" spans="1:4" x14ac:dyDescent="0.25">
      <c r="A44" s="5" t="s">
        <v>126</v>
      </c>
      <c r="B44" s="5" t="s">
        <v>53</v>
      </c>
      <c r="C44" s="5">
        <v>23.870503597122301</v>
      </c>
      <c r="D44" s="5">
        <v>3</v>
      </c>
    </row>
    <row r="45" spans="1:4" x14ac:dyDescent="0.25">
      <c r="A45" s="5" t="s">
        <v>127</v>
      </c>
      <c r="B45" s="5" t="s">
        <v>73</v>
      </c>
      <c r="C45" s="5">
        <v>1.8</v>
      </c>
      <c r="D45" s="5">
        <v>3</v>
      </c>
    </row>
    <row r="46" spans="1:4" x14ac:dyDescent="0.25">
      <c r="A46" s="5" t="s">
        <v>128</v>
      </c>
      <c r="B46" s="5" t="s">
        <v>54</v>
      </c>
      <c r="C46" s="5">
        <v>22.305882352941179</v>
      </c>
      <c r="D46" s="5">
        <v>3</v>
      </c>
    </row>
    <row r="47" spans="1:4" x14ac:dyDescent="0.25">
      <c r="A47" s="5" t="s">
        <v>129</v>
      </c>
      <c r="B47" s="5" t="s">
        <v>11</v>
      </c>
      <c r="C47" s="5">
        <v>19.118016256816546</v>
      </c>
      <c r="D47" s="5">
        <v>3</v>
      </c>
    </row>
    <row r="48" spans="1:4" x14ac:dyDescent="0.25">
      <c r="A48" s="5" t="s">
        <v>130</v>
      </c>
      <c r="B48" s="5" t="s">
        <v>55</v>
      </c>
      <c r="C48" s="5">
        <v>19.118016256816546</v>
      </c>
      <c r="D48" s="5">
        <v>3</v>
      </c>
    </row>
    <row r="49" spans="1:4" x14ac:dyDescent="0.25">
      <c r="A49" s="5" t="s">
        <v>131</v>
      </c>
      <c r="B49" s="5" t="s">
        <v>56</v>
      </c>
      <c r="C49" s="5">
        <v>23.666794038975926</v>
      </c>
      <c r="D49" s="5">
        <v>3</v>
      </c>
    </row>
    <row r="50" spans="1:4" x14ac:dyDescent="0.25">
      <c r="A50" s="5" t="s">
        <v>132</v>
      </c>
      <c r="B50" s="5" t="s">
        <v>57</v>
      </c>
      <c r="C50" s="5">
        <v>16.084277879341901</v>
      </c>
      <c r="D50" s="5">
        <v>3</v>
      </c>
    </row>
    <row r="51" spans="1:4" x14ac:dyDescent="0.25">
      <c r="A51" s="5" t="s">
        <v>133</v>
      </c>
      <c r="B51" s="5" t="s">
        <v>1</v>
      </c>
      <c r="C51">
        <v>8.1422830000000008</v>
      </c>
      <c r="D51" s="5">
        <v>2</v>
      </c>
    </row>
    <row r="52" spans="1:4" x14ac:dyDescent="0.25">
      <c r="A52" s="5" t="s">
        <v>134</v>
      </c>
      <c r="B52" s="5" t="s">
        <v>2</v>
      </c>
      <c r="C52">
        <v>6.1421559999999999</v>
      </c>
      <c r="D52" s="5">
        <v>2</v>
      </c>
    </row>
    <row r="53" spans="1:4" x14ac:dyDescent="0.25">
      <c r="A53" s="5" t="s">
        <v>135</v>
      </c>
      <c r="B53" s="5" t="s">
        <v>3</v>
      </c>
      <c r="C53">
        <v>6.1421559999999999</v>
      </c>
      <c r="D53" s="5">
        <v>2</v>
      </c>
    </row>
    <row r="54" spans="1:4" x14ac:dyDescent="0.25">
      <c r="A54" s="5" t="s">
        <v>136</v>
      </c>
      <c r="B54" s="5" t="s">
        <v>4</v>
      </c>
      <c r="C54">
        <v>4.954034</v>
      </c>
      <c r="D54" s="5">
        <v>2</v>
      </c>
    </row>
    <row r="55" spans="1:4" x14ac:dyDescent="0.25">
      <c r="A55" s="5" t="s">
        <v>137</v>
      </c>
      <c r="B55" s="5" t="s">
        <v>5</v>
      </c>
      <c r="C55">
        <v>4.954034</v>
      </c>
      <c r="D55" s="5">
        <v>2</v>
      </c>
    </row>
    <row r="56" spans="1:4" x14ac:dyDescent="0.25">
      <c r="A56" s="5" t="s">
        <v>138</v>
      </c>
      <c r="B56" s="5" t="s">
        <v>6</v>
      </c>
      <c r="C56">
        <v>3.3564799999999999</v>
      </c>
      <c r="D56" s="5">
        <v>2</v>
      </c>
    </row>
    <row r="57" spans="1:4" x14ac:dyDescent="0.25">
      <c r="A57" s="5" t="s">
        <v>139</v>
      </c>
      <c r="B57" s="5" t="s">
        <v>74</v>
      </c>
      <c r="C57" s="5">
        <v>2.8119507214931354</v>
      </c>
      <c r="D57" s="5">
        <v>1</v>
      </c>
    </row>
    <row r="58" spans="1:4" x14ac:dyDescent="0.25">
      <c r="A58" s="5" t="s">
        <v>140</v>
      </c>
      <c r="B58" s="5" t="s">
        <v>75</v>
      </c>
      <c r="C58" s="5">
        <v>2.1392001456152934</v>
      </c>
      <c r="D58" s="5">
        <v>1</v>
      </c>
    </row>
    <row r="59" spans="1:4" x14ac:dyDescent="0.25">
      <c r="A59" s="5" t="s">
        <v>141</v>
      </c>
      <c r="B59" s="5" t="s">
        <v>76</v>
      </c>
      <c r="C59" s="5">
        <v>2.1405059110379829</v>
      </c>
      <c r="D59" s="5">
        <v>1</v>
      </c>
    </row>
    <row r="60" spans="1:4" x14ac:dyDescent="0.25">
      <c r="A60" s="5" t="s">
        <v>142</v>
      </c>
      <c r="B60" s="5" t="s">
        <v>77</v>
      </c>
      <c r="C60" s="5">
        <v>1.7425054888494869</v>
      </c>
      <c r="D60" s="5">
        <v>1</v>
      </c>
    </row>
    <row r="61" spans="1:4" x14ac:dyDescent="0.25">
      <c r="A61" s="5" t="s">
        <v>143</v>
      </c>
      <c r="B61" s="5" t="s">
        <v>78</v>
      </c>
      <c r="C61" s="5">
        <v>1.742689472617984</v>
      </c>
      <c r="D61" s="5">
        <v>1</v>
      </c>
    </row>
    <row r="62" spans="1:4" x14ac:dyDescent="0.25">
      <c r="A62" s="5" t="s">
        <v>144</v>
      </c>
      <c r="B62" s="5" t="s">
        <v>79</v>
      </c>
      <c r="C62" s="5">
        <v>1.1934262253069277</v>
      </c>
      <c r="D62" s="5">
        <v>1</v>
      </c>
    </row>
    <row r="63" spans="1:4" x14ac:dyDescent="0.25">
      <c r="A63" s="5" t="s">
        <v>145</v>
      </c>
      <c r="B63" s="5" t="s">
        <v>146</v>
      </c>
      <c r="C63" s="5">
        <v>6.8889599999999991</v>
      </c>
      <c r="D63" s="5">
        <v>5</v>
      </c>
    </row>
    <row r="64" spans="1:4" x14ac:dyDescent="0.25">
      <c r="A64" s="5" t="s">
        <v>147</v>
      </c>
      <c r="B64" s="5" t="s">
        <v>148</v>
      </c>
      <c r="C64" s="5">
        <v>3.4444799999999995</v>
      </c>
      <c r="D64" s="5">
        <v>4</v>
      </c>
    </row>
    <row r="65" spans="1:4" x14ac:dyDescent="0.25">
      <c r="A65" s="5" t="s">
        <v>149</v>
      </c>
      <c r="B65" s="5" t="s">
        <v>150</v>
      </c>
      <c r="C65" s="5">
        <v>1.3777919999999999</v>
      </c>
      <c r="D65" s="5">
        <v>3</v>
      </c>
    </row>
    <row r="66" spans="1:4" x14ac:dyDescent="0.25">
      <c r="A66" s="5" t="s">
        <v>151</v>
      </c>
      <c r="B66" s="5" t="s">
        <v>152</v>
      </c>
      <c r="C66" s="5">
        <v>0.68889599999999995</v>
      </c>
      <c r="D66" s="5">
        <v>2</v>
      </c>
    </row>
    <row r="67" spans="1:4" x14ac:dyDescent="0.25">
      <c r="A67" s="5" t="s">
        <v>153</v>
      </c>
      <c r="B67" s="5" t="s">
        <v>154</v>
      </c>
      <c r="C67" s="5">
        <v>3.5999999999999999E-3</v>
      </c>
      <c r="D67" s="5">
        <v>4</v>
      </c>
    </row>
    <row r="68" spans="1:4" x14ac:dyDescent="0.25">
      <c r="A68" s="5" t="s">
        <v>155</v>
      </c>
      <c r="B68" s="5" t="s">
        <v>156</v>
      </c>
      <c r="C68" s="5">
        <v>1.6219214229739152</v>
      </c>
      <c r="D68" s="5">
        <v>2</v>
      </c>
    </row>
    <row r="69" spans="1:4" x14ac:dyDescent="0.25">
      <c r="A69" s="5" t="s">
        <v>157</v>
      </c>
      <c r="B69" s="5" t="s">
        <v>158</v>
      </c>
      <c r="C69" s="5">
        <v>4.0133847906871392</v>
      </c>
      <c r="D69" s="5">
        <v>3</v>
      </c>
    </row>
    <row r="70" spans="1:4" x14ac:dyDescent="0.25">
      <c r="A70" s="5" t="s">
        <v>159</v>
      </c>
      <c r="B70" s="5" t="s">
        <v>160</v>
      </c>
      <c r="C70" s="5">
        <v>10.12552033975421</v>
      </c>
      <c r="D70" s="5">
        <v>4</v>
      </c>
    </row>
    <row r="71" spans="1:4" x14ac:dyDescent="0.25">
      <c r="A71" s="5" t="s">
        <v>161</v>
      </c>
      <c r="B71" s="5" t="s">
        <v>162</v>
      </c>
      <c r="C71" s="5">
        <v>1.3777919999999999</v>
      </c>
      <c r="D71" s="5">
        <v>4</v>
      </c>
    </row>
    <row r="72" spans="1:4" x14ac:dyDescent="0.25">
      <c r="A72" s="5" t="s">
        <v>163</v>
      </c>
      <c r="B72" s="5" t="s">
        <v>164</v>
      </c>
      <c r="C72" s="5">
        <v>17.2224</v>
      </c>
      <c r="D72" s="5">
        <v>3</v>
      </c>
    </row>
    <row r="73" spans="1:4" x14ac:dyDescent="0.25">
      <c r="A73" s="5" t="s">
        <v>165</v>
      </c>
      <c r="B73" s="5" t="s">
        <v>166</v>
      </c>
      <c r="C73" s="5">
        <v>17.2224</v>
      </c>
      <c r="D73" s="5">
        <v>3</v>
      </c>
    </row>
    <row r="74" spans="1:4" x14ac:dyDescent="0.25">
      <c r="A74" s="5" t="s">
        <v>167</v>
      </c>
      <c r="B74" s="5" t="s">
        <v>168</v>
      </c>
      <c r="C74" s="5">
        <v>17.2224</v>
      </c>
      <c r="D74" s="5">
        <v>3</v>
      </c>
    </row>
    <row r="75" spans="1:4" x14ac:dyDescent="0.25">
      <c r="A75" s="5" t="s">
        <v>169</v>
      </c>
      <c r="B75" s="5" t="s">
        <v>170</v>
      </c>
      <c r="C75" s="5">
        <v>17.2224</v>
      </c>
      <c r="D75" s="5">
        <v>3</v>
      </c>
    </row>
    <row r="76" spans="1:4" x14ac:dyDescent="0.25">
      <c r="A76" s="5" t="s">
        <v>171</v>
      </c>
      <c r="B76" s="5" t="s">
        <v>172</v>
      </c>
      <c r="C76" s="5">
        <v>17.2224</v>
      </c>
      <c r="D76" s="5">
        <v>3</v>
      </c>
    </row>
    <row r="77" spans="1:4" x14ac:dyDescent="0.25">
      <c r="A77" s="5" t="s">
        <v>173</v>
      </c>
      <c r="B77" s="5" t="s">
        <v>174</v>
      </c>
      <c r="C77" s="5">
        <v>17.2224</v>
      </c>
      <c r="D77" s="5">
        <v>3</v>
      </c>
    </row>
    <row r="78" spans="1:4" x14ac:dyDescent="0.25">
      <c r="A78" s="5" t="s">
        <v>175</v>
      </c>
      <c r="B78" s="5" t="s">
        <v>176</v>
      </c>
      <c r="C78" s="5">
        <v>17.2224</v>
      </c>
      <c r="D78" s="5">
        <v>3</v>
      </c>
    </row>
    <row r="79" spans="1:4" x14ac:dyDescent="0.25">
      <c r="A79" s="5" t="s">
        <v>177</v>
      </c>
      <c r="B79" s="5" t="s">
        <v>178</v>
      </c>
      <c r="C79" s="5">
        <v>17.2224</v>
      </c>
      <c r="D79" s="5">
        <v>3</v>
      </c>
    </row>
    <row r="80" spans="1:4" x14ac:dyDescent="0.25">
      <c r="A80" s="5" t="s">
        <v>179</v>
      </c>
      <c r="B80" s="5" t="s">
        <v>180</v>
      </c>
      <c r="C80" s="5">
        <v>34.444800000000001</v>
      </c>
      <c r="D80" s="5">
        <v>4</v>
      </c>
    </row>
    <row r="81" spans="1:4" x14ac:dyDescent="0.25">
      <c r="A81" s="5" t="s">
        <v>181</v>
      </c>
      <c r="B81" s="5" t="s">
        <v>182</v>
      </c>
      <c r="C81" s="5">
        <v>34.444800000000001</v>
      </c>
      <c r="D81" s="5">
        <v>4</v>
      </c>
    </row>
    <row r="82" spans="1:4" x14ac:dyDescent="0.25">
      <c r="A82" s="5" t="s">
        <v>183</v>
      </c>
      <c r="B82" s="5" t="s">
        <v>184</v>
      </c>
      <c r="C82" s="5">
        <v>34.444800000000001</v>
      </c>
      <c r="D82" s="5">
        <v>4</v>
      </c>
    </row>
    <row r="83" spans="1:4" x14ac:dyDescent="0.25">
      <c r="A83" s="5" t="s">
        <v>185</v>
      </c>
      <c r="B83" s="5" t="s">
        <v>186</v>
      </c>
      <c r="C83" s="5">
        <v>34.444800000000001</v>
      </c>
      <c r="D83" s="5">
        <v>4</v>
      </c>
    </row>
    <row r="84" spans="1:4" x14ac:dyDescent="0.25">
      <c r="A84" s="5" t="s">
        <v>187</v>
      </c>
      <c r="B84" s="5" t="s">
        <v>188</v>
      </c>
      <c r="C84" s="5">
        <v>34.444800000000001</v>
      </c>
      <c r="D84" s="5">
        <v>4</v>
      </c>
    </row>
    <row r="85" spans="1:4" x14ac:dyDescent="0.25">
      <c r="A85" s="5" t="s">
        <v>189</v>
      </c>
      <c r="B85" s="5" t="s">
        <v>190</v>
      </c>
      <c r="C85" s="5">
        <v>34.444800000000001</v>
      </c>
      <c r="D85" s="5">
        <v>4</v>
      </c>
    </row>
    <row r="86" spans="1:4" x14ac:dyDescent="0.25">
      <c r="A86" s="5" t="s">
        <v>191</v>
      </c>
      <c r="B86" s="5" t="s">
        <v>192</v>
      </c>
      <c r="C86" s="5">
        <v>34.444800000000001</v>
      </c>
      <c r="D86" s="5">
        <v>4</v>
      </c>
    </row>
    <row r="87" spans="1:4" x14ac:dyDescent="0.25">
      <c r="A87" s="5" t="s">
        <v>193</v>
      </c>
      <c r="B87" s="5" t="s">
        <v>194</v>
      </c>
      <c r="C87" s="5">
        <v>34.444800000000001</v>
      </c>
      <c r="D87" s="5">
        <v>4</v>
      </c>
    </row>
    <row r="88" spans="1:4" x14ac:dyDescent="0.25">
      <c r="A88" s="5" t="s">
        <v>195</v>
      </c>
      <c r="B88" s="5" t="s">
        <v>196</v>
      </c>
      <c r="C88" s="5">
        <v>191.90706179047623</v>
      </c>
      <c r="D88" s="5">
        <v>5</v>
      </c>
    </row>
    <row r="89" spans="1:4" x14ac:dyDescent="0.25">
      <c r="A89" s="5" t="s">
        <v>197</v>
      </c>
      <c r="B89" s="5" t="s">
        <v>198</v>
      </c>
      <c r="C89" s="5">
        <v>191.90706179047623</v>
      </c>
      <c r="D89" s="5">
        <v>5</v>
      </c>
    </row>
    <row r="90" spans="1:4" x14ac:dyDescent="0.25">
      <c r="A90" s="5" t="s">
        <v>199</v>
      </c>
      <c r="B90" s="5" t="s">
        <v>200</v>
      </c>
      <c r="C90" s="5">
        <v>191.90706179047623</v>
      </c>
      <c r="D90" s="5">
        <v>5</v>
      </c>
    </row>
    <row r="91" spans="1:4" x14ac:dyDescent="0.25">
      <c r="A91" s="5" t="s">
        <v>201</v>
      </c>
      <c r="B91" s="5" t="s">
        <v>202</v>
      </c>
      <c r="C91" s="5">
        <v>191.90706179047623</v>
      </c>
      <c r="D91" s="5">
        <v>5</v>
      </c>
    </row>
    <row r="92" spans="1:4" x14ac:dyDescent="0.25">
      <c r="A92" s="5" t="s">
        <v>203</v>
      </c>
      <c r="B92" s="5" t="s">
        <v>204</v>
      </c>
      <c r="C92" s="5">
        <v>191.90706179047623</v>
      </c>
      <c r="D92" s="5">
        <v>5</v>
      </c>
    </row>
    <row r="93" spans="1:4" x14ac:dyDescent="0.25">
      <c r="A93" s="5" t="s">
        <v>205</v>
      </c>
      <c r="B93" s="5" t="s">
        <v>206</v>
      </c>
      <c r="C93" s="5">
        <v>191.90706179047623</v>
      </c>
      <c r="D93" s="5">
        <v>5</v>
      </c>
    </row>
    <row r="94" spans="1:4" x14ac:dyDescent="0.25">
      <c r="A94" s="5" t="s">
        <v>207</v>
      </c>
      <c r="B94" s="5" t="s">
        <v>208</v>
      </c>
      <c r="C94" s="5">
        <v>191.90706179047623</v>
      </c>
      <c r="D94" s="5">
        <v>5</v>
      </c>
    </row>
    <row r="95" spans="1:4" x14ac:dyDescent="0.25">
      <c r="A95" s="5" t="s">
        <v>209</v>
      </c>
      <c r="B95" s="5" t="s">
        <v>210</v>
      </c>
      <c r="C95" s="5">
        <v>191.90706179047623</v>
      </c>
      <c r="D95" s="5">
        <v>5</v>
      </c>
    </row>
    <row r="96" spans="1:4" x14ac:dyDescent="0.25">
      <c r="A96" s="5" t="s">
        <v>211</v>
      </c>
      <c r="B96" s="5" t="s">
        <v>212</v>
      </c>
      <c r="C96" s="5">
        <v>0.92249999999999999</v>
      </c>
      <c r="D96" s="5">
        <v>5</v>
      </c>
    </row>
    <row r="97" spans="1:4" x14ac:dyDescent="0.25">
      <c r="A97" s="5" t="s">
        <v>213</v>
      </c>
      <c r="B97" s="5" t="s">
        <v>214</v>
      </c>
      <c r="C97" s="5">
        <v>553.5</v>
      </c>
      <c r="D97" s="5">
        <v>5</v>
      </c>
    </row>
    <row r="98" spans="1:4" x14ac:dyDescent="0.25">
      <c r="A98" s="5" t="s">
        <v>215</v>
      </c>
      <c r="B98" s="5" t="s">
        <v>216</v>
      </c>
      <c r="C98" s="5">
        <v>5535</v>
      </c>
      <c r="D98" s="5">
        <v>5</v>
      </c>
    </row>
    <row r="99" spans="1:4" x14ac:dyDescent="0.25">
      <c r="A99" s="5" t="s">
        <v>217</v>
      </c>
      <c r="B99" s="5" t="s">
        <v>218</v>
      </c>
      <c r="C99" s="5">
        <v>166.05</v>
      </c>
      <c r="D99" s="5">
        <v>4</v>
      </c>
    </row>
    <row r="100" spans="1:4" x14ac:dyDescent="0.25">
      <c r="A100" s="5" t="s">
        <v>219</v>
      </c>
      <c r="B100" s="5" t="s">
        <v>220</v>
      </c>
      <c r="C100" s="5">
        <v>463.39534883720933</v>
      </c>
      <c r="D100" s="5">
        <v>4</v>
      </c>
    </row>
    <row r="101" spans="1:4" x14ac:dyDescent="0.25">
      <c r="A101" s="5" t="s">
        <v>221</v>
      </c>
      <c r="B101" s="5" t="s">
        <v>222</v>
      </c>
      <c r="C101" s="5">
        <v>4633.9534883720935</v>
      </c>
      <c r="D101" s="5">
        <v>4</v>
      </c>
    </row>
    <row r="102" spans="1:4" x14ac:dyDescent="0.25">
      <c r="A102" s="5" t="s">
        <v>223</v>
      </c>
      <c r="B102" s="5" t="s">
        <v>224</v>
      </c>
      <c r="C102" s="5">
        <v>39.491579069767447</v>
      </c>
      <c r="D102" s="5">
        <v>4</v>
      </c>
    </row>
    <row r="103" spans="1:4" x14ac:dyDescent="0.25">
      <c r="A103" s="5" t="s">
        <v>225</v>
      </c>
      <c r="B103" s="5" t="s">
        <v>226</v>
      </c>
      <c r="C103" s="5">
        <v>1.366857142857143</v>
      </c>
      <c r="D103" s="5">
        <v>3</v>
      </c>
    </row>
    <row r="104" spans="1:4" x14ac:dyDescent="0.25">
      <c r="A104" s="5" t="s">
        <v>227</v>
      </c>
      <c r="B104" s="5" t="s">
        <v>228</v>
      </c>
      <c r="C104" s="5">
        <v>123.01714285714287</v>
      </c>
      <c r="D104" s="5">
        <v>4</v>
      </c>
    </row>
    <row r="105" spans="1:4" x14ac:dyDescent="0.25">
      <c r="A105" s="5" t="s">
        <v>229</v>
      </c>
      <c r="B105" s="5" t="s">
        <v>230</v>
      </c>
      <c r="C105" s="5">
        <v>164.02285714285716</v>
      </c>
      <c r="D105" s="5">
        <v>5</v>
      </c>
    </row>
    <row r="106" spans="1:4" x14ac:dyDescent="0.25">
      <c r="A106" s="5" t="s">
        <v>231</v>
      </c>
      <c r="B106" s="5" t="s">
        <v>232</v>
      </c>
      <c r="C106" s="5">
        <v>27.337142857142858</v>
      </c>
      <c r="D106" s="5">
        <v>5</v>
      </c>
    </row>
    <row r="107" spans="1:4" x14ac:dyDescent="0.25">
      <c r="A107" s="5" t="s">
        <v>233</v>
      </c>
      <c r="B107" s="5" t="s">
        <v>234</v>
      </c>
      <c r="C107" s="5">
        <v>81.523255813953497</v>
      </c>
      <c r="D107" s="5">
        <v>5</v>
      </c>
    </row>
    <row r="108" spans="1:4" x14ac:dyDescent="0.25">
      <c r="A108" s="5" t="s">
        <v>235</v>
      </c>
      <c r="B108" s="5" t="s">
        <v>236</v>
      </c>
      <c r="C108" s="5">
        <v>0.8</v>
      </c>
      <c r="D108" s="5">
        <v>3</v>
      </c>
    </row>
    <row r="109" spans="1:4" x14ac:dyDescent="0.25">
      <c r="A109" s="5" t="s">
        <v>237</v>
      </c>
      <c r="B109" s="5" t="s">
        <v>238</v>
      </c>
      <c r="C109" s="5">
        <v>0</v>
      </c>
      <c r="D109" s="5">
        <v>4</v>
      </c>
    </row>
    <row r="110" spans="1:4" x14ac:dyDescent="0.25">
      <c r="A110" s="5" t="s">
        <v>239</v>
      </c>
      <c r="B110" s="5" t="s">
        <v>240</v>
      </c>
      <c r="C110" s="5">
        <v>5.7407999999999994E-2</v>
      </c>
      <c r="D110" s="5">
        <v>4</v>
      </c>
    </row>
    <row r="111" spans="1:4" x14ac:dyDescent="0.25">
      <c r="A111" s="5" t="s">
        <v>241</v>
      </c>
      <c r="B111" s="5" t="s">
        <v>242</v>
      </c>
      <c r="C111" s="5">
        <v>0.68881911354748393</v>
      </c>
      <c r="D111" s="5">
        <v>2</v>
      </c>
    </row>
    <row r="112" spans="1:4" x14ac:dyDescent="0.25">
      <c r="A112" s="5" t="s">
        <v>243</v>
      </c>
      <c r="B112" s="5" t="s">
        <v>244</v>
      </c>
      <c r="C112" s="5">
        <v>1.0585230384642426</v>
      </c>
      <c r="D112" s="5">
        <v>3</v>
      </c>
    </row>
    <row r="113" spans="1:4" x14ac:dyDescent="0.25">
      <c r="A113" s="5" t="s">
        <v>245</v>
      </c>
      <c r="B113" s="5" t="s">
        <v>246</v>
      </c>
      <c r="C113" s="5">
        <v>1.2467319261174168</v>
      </c>
      <c r="D113" s="5">
        <v>4</v>
      </c>
    </row>
    <row r="114" spans="1:4" x14ac:dyDescent="0.25">
      <c r="A114" s="5" t="s">
        <v>247</v>
      </c>
      <c r="B114" s="5" t="s">
        <v>248</v>
      </c>
      <c r="C114" s="5">
        <v>0</v>
      </c>
      <c r="D114" s="5">
        <v>3</v>
      </c>
    </row>
    <row r="115" spans="1:4" x14ac:dyDescent="0.25">
      <c r="A115" s="5" t="s">
        <v>249</v>
      </c>
      <c r="B115" s="5" t="s">
        <v>61</v>
      </c>
      <c r="C115" s="5">
        <v>1</v>
      </c>
      <c r="D115" s="5">
        <v>5</v>
      </c>
    </row>
    <row r="116" spans="1:4" x14ac:dyDescent="0.25">
      <c r="A116" s="5" t="s">
        <v>250</v>
      </c>
      <c r="B116" s="5" t="s">
        <v>251</v>
      </c>
      <c r="C116" s="5">
        <v>2142.510624</v>
      </c>
      <c r="D116" s="5">
        <v>5</v>
      </c>
    </row>
    <row r="117" spans="1:4" x14ac:dyDescent="0.25">
      <c r="A117" s="5" t="s">
        <v>252</v>
      </c>
      <c r="B117" s="5" t="s">
        <v>253</v>
      </c>
      <c r="C117" s="5">
        <v>3315.5783999999999</v>
      </c>
      <c r="D117" s="5">
        <v>5</v>
      </c>
    </row>
    <row r="118" spans="1:4" x14ac:dyDescent="0.25">
      <c r="A118" s="5" t="s">
        <v>254</v>
      </c>
      <c r="B118" s="5" t="s">
        <v>255</v>
      </c>
      <c r="C118" s="5">
        <v>5265.1979999999994</v>
      </c>
      <c r="D118" s="5">
        <v>5</v>
      </c>
    </row>
    <row r="119" spans="1:4" x14ac:dyDescent="0.25">
      <c r="A119" s="5" t="s">
        <v>256</v>
      </c>
      <c r="B119" s="5" t="s">
        <v>257</v>
      </c>
      <c r="C119" s="5">
        <v>2000.2306369276407</v>
      </c>
      <c r="D119" s="5">
        <v>5</v>
      </c>
    </row>
    <row r="120" spans="1:4" x14ac:dyDescent="0.25">
      <c r="A120" s="5" t="s">
        <v>258</v>
      </c>
      <c r="B120" s="5" t="s">
        <v>259</v>
      </c>
      <c r="C120" s="5">
        <v>3601.913958788823</v>
      </c>
      <c r="D120" s="5">
        <v>5</v>
      </c>
    </row>
    <row r="121" spans="1:4" x14ac:dyDescent="0.25">
      <c r="A121" s="5" t="s">
        <v>260</v>
      </c>
      <c r="B121" s="5" t="s">
        <v>261</v>
      </c>
      <c r="C121" s="5">
        <v>5420.2890355626805</v>
      </c>
      <c r="D121" s="5">
        <v>5</v>
      </c>
    </row>
    <row r="122" spans="1:4" x14ac:dyDescent="0.25">
      <c r="A122" s="5" t="s">
        <v>262</v>
      </c>
      <c r="B122" s="5" t="s">
        <v>263</v>
      </c>
      <c r="C122" s="5">
        <v>1063.73818662029</v>
      </c>
      <c r="D122" s="5">
        <v>5</v>
      </c>
    </row>
    <row r="123" spans="1:4" x14ac:dyDescent="0.25">
      <c r="A123" s="5" t="s">
        <v>264</v>
      </c>
      <c r="B123" s="5" t="s">
        <v>265</v>
      </c>
      <c r="C123" s="5">
        <v>1712.4965126298835</v>
      </c>
      <c r="D123" s="5">
        <v>5</v>
      </c>
    </row>
    <row r="124" spans="1:4" x14ac:dyDescent="0.25">
      <c r="A124" s="5" t="s">
        <v>266</v>
      </c>
      <c r="B124" s="5" t="s">
        <v>267</v>
      </c>
      <c r="C124" s="5">
        <v>3037.9220051332663</v>
      </c>
      <c r="D124" s="5">
        <v>5</v>
      </c>
    </row>
    <row r="125" spans="1:4" x14ac:dyDescent="0.25">
      <c r="A125" s="5" t="s">
        <v>268</v>
      </c>
      <c r="B125" s="5" t="s">
        <v>269</v>
      </c>
      <c r="C125" s="5">
        <v>2988.9</v>
      </c>
      <c r="D125" s="5">
        <v>5</v>
      </c>
    </row>
    <row r="126" spans="1:4" x14ac:dyDescent="0.25">
      <c r="A126" s="5" t="s">
        <v>270</v>
      </c>
      <c r="B126" s="5" t="s">
        <v>271</v>
      </c>
      <c r="C126" s="5">
        <v>2490.75</v>
      </c>
      <c r="D126" s="5">
        <v>5</v>
      </c>
    </row>
    <row r="127" spans="1:4" x14ac:dyDescent="0.25">
      <c r="A127" s="5" t="s">
        <v>272</v>
      </c>
      <c r="B127" s="5" t="s">
        <v>273</v>
      </c>
      <c r="C127" s="5">
        <v>2988.9</v>
      </c>
      <c r="D127" s="5">
        <v>5</v>
      </c>
    </row>
    <row r="128" spans="1:4" x14ac:dyDescent="0.25">
      <c r="A128" s="5" t="s">
        <v>274</v>
      </c>
      <c r="B128" s="5" t="s">
        <v>275</v>
      </c>
      <c r="C128" s="5">
        <v>3487.05</v>
      </c>
      <c r="D128" s="5">
        <v>5</v>
      </c>
    </row>
    <row r="129" spans="1:4" x14ac:dyDescent="0.25">
      <c r="A129" s="5" t="s">
        <v>276</v>
      </c>
      <c r="B129" s="5" t="s">
        <v>277</v>
      </c>
      <c r="C129" s="5">
        <v>3985.2000000000003</v>
      </c>
      <c r="D129" s="5">
        <v>5</v>
      </c>
    </row>
    <row r="130" spans="1:4" x14ac:dyDescent="0.25">
      <c r="A130" s="5" t="s">
        <v>278</v>
      </c>
      <c r="B130" s="5" t="s">
        <v>279</v>
      </c>
      <c r="C130" s="5">
        <v>4483.3500000000004</v>
      </c>
      <c r="D130" s="5">
        <v>5</v>
      </c>
    </row>
    <row r="131" spans="1:4" x14ac:dyDescent="0.25">
      <c r="A131" s="5" t="s">
        <v>280</v>
      </c>
      <c r="B131" s="5" t="s">
        <v>281</v>
      </c>
      <c r="C131" s="5">
        <v>361.67039999999997</v>
      </c>
      <c r="D131" s="5">
        <v>5</v>
      </c>
    </row>
    <row r="132" spans="1:4" x14ac:dyDescent="0.25">
      <c r="A132" s="5" t="s">
        <v>282</v>
      </c>
      <c r="B132" s="5" t="s">
        <v>283</v>
      </c>
      <c r="C132" s="5">
        <v>86.111999999999995</v>
      </c>
      <c r="D132" s="5">
        <v>5</v>
      </c>
    </row>
    <row r="133" spans="1:4" x14ac:dyDescent="0.25">
      <c r="A133" s="5" t="s">
        <v>284</v>
      </c>
      <c r="B133" s="5" t="s">
        <v>285</v>
      </c>
      <c r="C133" s="5">
        <v>80</v>
      </c>
      <c r="D133" s="5">
        <v>5</v>
      </c>
    </row>
    <row r="134" spans="1:4" x14ac:dyDescent="0.25">
      <c r="A134" s="5" t="s">
        <v>286</v>
      </c>
      <c r="B134" s="5" t="s">
        <v>287</v>
      </c>
      <c r="C134" s="5">
        <v>0</v>
      </c>
      <c r="D134" s="5">
        <v>5</v>
      </c>
    </row>
    <row r="135" spans="1:4" x14ac:dyDescent="0.25">
      <c r="A135" s="5" t="s">
        <v>288</v>
      </c>
      <c r="B135" s="5" t="s">
        <v>289</v>
      </c>
      <c r="C135" s="5">
        <v>1992.6000000000001</v>
      </c>
      <c r="D135" s="5">
        <v>5</v>
      </c>
    </row>
    <row r="136" spans="1:4" x14ac:dyDescent="0.25">
      <c r="A136" s="5" t="s">
        <v>290</v>
      </c>
      <c r="B136" s="5" t="s">
        <v>291</v>
      </c>
      <c r="C136" s="5">
        <v>1992.6000000000001</v>
      </c>
      <c r="D136" s="5">
        <v>5</v>
      </c>
    </row>
    <row r="137" spans="1:4" x14ac:dyDescent="0.25">
      <c r="A137" s="5" t="s">
        <v>292</v>
      </c>
      <c r="B137" s="5" t="s">
        <v>293</v>
      </c>
      <c r="C137" s="5">
        <v>3985.2000000000003</v>
      </c>
      <c r="D137" s="5">
        <v>5</v>
      </c>
    </row>
    <row r="138" spans="1:4" x14ac:dyDescent="0.25">
      <c r="A138" s="5" t="s">
        <v>294</v>
      </c>
      <c r="B138" s="5" t="s">
        <v>295</v>
      </c>
      <c r="C138" s="5">
        <v>2988.9</v>
      </c>
      <c r="D138" s="5">
        <v>5</v>
      </c>
    </row>
    <row r="139" spans="1:4" x14ac:dyDescent="0.25">
      <c r="A139" s="5" t="s">
        <v>296</v>
      </c>
      <c r="B139" s="5" t="s">
        <v>297</v>
      </c>
      <c r="C139" s="5">
        <v>95.358816944481887</v>
      </c>
      <c r="D139" s="5">
        <v>5</v>
      </c>
    </row>
    <row r="140" spans="1:4" x14ac:dyDescent="0.25">
      <c r="A140" s="5" t="s">
        <v>298</v>
      </c>
      <c r="B140" s="5" t="s">
        <v>299</v>
      </c>
      <c r="C140" s="5">
        <v>31.883777100242543</v>
      </c>
      <c r="D140" s="5">
        <v>5</v>
      </c>
    </row>
    <row r="141" spans="1:4" x14ac:dyDescent="0.25">
      <c r="A141" s="5" t="s">
        <v>300</v>
      </c>
      <c r="B141" s="5" t="s">
        <v>301</v>
      </c>
      <c r="C141" s="5">
        <v>302.34520500382621</v>
      </c>
      <c r="D141" s="5">
        <v>5</v>
      </c>
    </row>
    <row r="142" spans="1:4" x14ac:dyDescent="0.25">
      <c r="A142" s="5" t="s">
        <v>302</v>
      </c>
      <c r="B142" s="5" t="s">
        <v>303</v>
      </c>
      <c r="C142" s="5">
        <v>21.28</v>
      </c>
      <c r="D142" s="5">
        <v>5</v>
      </c>
    </row>
    <row r="143" spans="1:4" x14ac:dyDescent="0.25">
      <c r="A143" s="5" t="s">
        <v>304</v>
      </c>
      <c r="B143" s="5" t="s">
        <v>305</v>
      </c>
      <c r="C143" s="5">
        <v>0</v>
      </c>
      <c r="D143" s="5">
        <v>5</v>
      </c>
    </row>
    <row r="144" spans="1:4" x14ac:dyDescent="0.25">
      <c r="A144" s="5" t="s">
        <v>306</v>
      </c>
      <c r="B144" s="5" t="s">
        <v>307</v>
      </c>
      <c r="C144" s="5">
        <v>0</v>
      </c>
      <c r="D144" s="5">
        <v>5</v>
      </c>
    </row>
    <row r="145" spans="1:4" x14ac:dyDescent="0.25">
      <c r="A145" s="5" t="s">
        <v>308</v>
      </c>
      <c r="B145" s="5" t="s">
        <v>309</v>
      </c>
      <c r="C145" s="5">
        <v>0</v>
      </c>
      <c r="D145" s="5">
        <v>5</v>
      </c>
    </row>
    <row r="146" spans="1:4" x14ac:dyDescent="0.25">
      <c r="A146" s="5" t="s">
        <v>310</v>
      </c>
      <c r="B146" s="5" t="s">
        <v>311</v>
      </c>
      <c r="C146" s="5">
        <v>0</v>
      </c>
      <c r="D146" s="5">
        <v>5</v>
      </c>
    </row>
    <row r="147" spans="1:4" x14ac:dyDescent="0.25">
      <c r="A147" s="5" t="s">
        <v>312</v>
      </c>
      <c r="B147" s="5" t="s">
        <v>313</v>
      </c>
      <c r="C147" s="5">
        <v>0</v>
      </c>
      <c r="D147" s="5">
        <v>5</v>
      </c>
    </row>
    <row r="148" spans="1:4" x14ac:dyDescent="0.25">
      <c r="A148" s="5" t="s">
        <v>314</v>
      </c>
      <c r="B148" s="5" t="s">
        <v>315</v>
      </c>
      <c r="C148" s="5">
        <v>0</v>
      </c>
      <c r="D148" s="5">
        <v>5</v>
      </c>
    </row>
    <row r="149" spans="1:4" x14ac:dyDescent="0.25">
      <c r="A149" s="5" t="s">
        <v>316</v>
      </c>
      <c r="B149" s="5" t="s">
        <v>317</v>
      </c>
      <c r="C149" s="5">
        <v>0</v>
      </c>
      <c r="D149" s="5">
        <v>5</v>
      </c>
    </row>
  </sheetData>
  <mergeCells count="13">
    <mergeCell ref="F18:H18"/>
    <mergeCell ref="F19:H19"/>
    <mergeCell ref="F12:J12"/>
    <mergeCell ref="F13:H13"/>
    <mergeCell ref="F14:H14"/>
    <mergeCell ref="F16:I16"/>
    <mergeCell ref="F17:J17"/>
    <mergeCell ref="F11:I11"/>
    <mergeCell ref="A1:I1"/>
    <mergeCell ref="F8:G8"/>
    <mergeCell ref="F3:J3"/>
    <mergeCell ref="F2:K2"/>
    <mergeCell ref="F9:K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zoomScaleNormal="100" workbookViewId="0">
      <selection activeCell="I5" sqref="I5"/>
    </sheetView>
  </sheetViews>
  <sheetFormatPr defaultColWidth="10" defaultRowHeight="13.8" x14ac:dyDescent="0.25"/>
  <cols>
    <col min="1" max="1" width="16.44140625" bestFit="1" customWidth="1"/>
    <col min="2" max="2" width="13.6640625" bestFit="1" customWidth="1"/>
    <col min="3" max="3" width="12.33203125" bestFit="1" customWidth="1"/>
    <col min="4" max="4" width="10.44140625" bestFit="1" customWidth="1"/>
    <col min="5" max="6" width="12.33203125" bestFit="1" customWidth="1"/>
    <col min="7" max="7" width="8.44140625" bestFit="1" customWidth="1"/>
    <col min="8" max="9" width="13.44140625" bestFit="1" customWidth="1"/>
    <col min="10" max="10" width="12.33203125" bestFit="1" customWidth="1"/>
    <col min="11" max="11" width="10.44140625" bestFit="1" customWidth="1"/>
    <col min="12" max="12" width="15.44140625" bestFit="1" customWidth="1"/>
    <col min="13" max="14" width="12.33203125" bestFit="1" customWidth="1"/>
    <col min="15" max="15" width="6.109375" bestFit="1" customWidth="1"/>
    <col min="16" max="16" width="12.33203125" bestFit="1" customWidth="1"/>
    <col min="18" max="18" width="12.33203125" bestFit="1" customWidth="1"/>
  </cols>
  <sheetData>
    <row r="1" spans="1:18" x14ac:dyDescent="0.25">
      <c r="A1" s="13" t="s">
        <v>59</v>
      </c>
      <c r="B1" s="13"/>
      <c r="C1" s="13"/>
      <c r="D1" s="13"/>
      <c r="E1" s="13"/>
      <c r="F1" s="13"/>
      <c r="G1" s="13"/>
      <c r="L1" s="1" t="s">
        <v>60</v>
      </c>
      <c r="M1" s="1"/>
      <c r="N1" s="1"/>
      <c r="O1" s="1"/>
      <c r="P1" s="1"/>
      <c r="Q1" s="1"/>
      <c r="R1" s="1"/>
    </row>
    <row r="2" spans="1:18" x14ac:dyDescent="0.25">
      <c r="A2" t="s">
        <v>0</v>
      </c>
      <c r="B2" t="s">
        <v>7</v>
      </c>
      <c r="C2" t="s">
        <v>8</v>
      </c>
      <c r="D2" t="s">
        <v>9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67</v>
      </c>
      <c r="M2" t="s">
        <v>7</v>
      </c>
      <c r="N2" t="s">
        <v>8</v>
      </c>
      <c r="O2" t="s">
        <v>9</v>
      </c>
      <c r="P2" t="s">
        <v>61</v>
      </c>
    </row>
    <row r="3" spans="1:18" ht="15.6" x14ac:dyDescent="0.25">
      <c r="A3" s="2"/>
      <c r="B3" s="2" t="s">
        <v>1</v>
      </c>
      <c r="C3" s="3">
        <f>在此导入!C51</f>
        <v>8.1422830000000008</v>
      </c>
      <c r="D3" s="2">
        <v>717</v>
      </c>
      <c r="E3">
        <f>C3*D3/10000</f>
        <v>0.58380169110000002</v>
      </c>
      <c r="F3">
        <v>650</v>
      </c>
      <c r="G3">
        <f>D3*F3/10000</f>
        <v>46.604999999999997</v>
      </c>
      <c r="H3">
        <f>G3/10000</f>
        <v>4.6604999999999997E-3</v>
      </c>
      <c r="I3">
        <f>H3*$P$30</f>
        <v>0.36529038575576511</v>
      </c>
      <c r="J3">
        <f>E3+I3</f>
        <v>0.94909207685576513</v>
      </c>
      <c r="L3" t="s">
        <v>10</v>
      </c>
      <c r="M3" s="2" t="s">
        <v>12</v>
      </c>
      <c r="N3" s="3">
        <f>C9</f>
        <v>60.689845463273379</v>
      </c>
      <c r="O3" s="2">
        <v>40</v>
      </c>
      <c r="P3">
        <f t="shared" ref="P3:P29" si="0">N3*O3/10000</f>
        <v>0.24275938185309351</v>
      </c>
    </row>
    <row r="4" spans="1:18" ht="15.6" x14ac:dyDescent="0.25">
      <c r="A4" s="2"/>
      <c r="B4" s="2" t="s">
        <v>2</v>
      </c>
      <c r="C4" s="3">
        <f>在此导入!C52</f>
        <v>6.1421559999999999</v>
      </c>
      <c r="D4" s="2">
        <v>717</v>
      </c>
      <c r="E4">
        <f t="shared" ref="E4:E42" si="1">C4*D4/10000</f>
        <v>0.44039258520000002</v>
      </c>
      <c r="F4">
        <v>650</v>
      </c>
      <c r="G4">
        <f>D4*F4/10000</f>
        <v>46.604999999999997</v>
      </c>
      <c r="H4">
        <f t="shared" ref="H4:H46" si="2">G4/10000</f>
        <v>4.6604999999999997E-3</v>
      </c>
      <c r="I4">
        <f t="shared" ref="I4:I46" si="3">H4*$P$30</f>
        <v>0.36529038575576511</v>
      </c>
      <c r="J4">
        <f t="shared" ref="J4:J46" si="4">E4+I4</f>
        <v>0.80568297095576513</v>
      </c>
      <c r="M4" s="2" t="s">
        <v>13</v>
      </c>
      <c r="N4" s="3">
        <f>C10</f>
        <v>61.049845463273378</v>
      </c>
      <c r="O4" s="2">
        <v>40</v>
      </c>
      <c r="P4">
        <f t="shared" si="0"/>
        <v>0.24419938185309351</v>
      </c>
    </row>
    <row r="5" spans="1:18" ht="15.6" x14ac:dyDescent="0.25">
      <c r="A5" s="2"/>
      <c r="B5" s="2" t="s">
        <v>3</v>
      </c>
      <c r="C5" s="3">
        <f>在此导入!C53</f>
        <v>6.1421559999999999</v>
      </c>
      <c r="D5" s="2">
        <v>717</v>
      </c>
      <c r="E5">
        <f t="shared" si="1"/>
        <v>0.44039258520000002</v>
      </c>
      <c r="F5">
        <v>650</v>
      </c>
      <c r="G5">
        <f t="shared" ref="G5:G46" si="5">D5*F5/10000</f>
        <v>46.604999999999997</v>
      </c>
      <c r="H5">
        <f t="shared" si="2"/>
        <v>4.6604999999999997E-3</v>
      </c>
      <c r="I5">
        <f t="shared" si="3"/>
        <v>0.36529038575576511</v>
      </c>
      <c r="J5">
        <f t="shared" si="4"/>
        <v>0.80568297095576513</v>
      </c>
      <c r="L5" t="s">
        <v>41</v>
      </c>
      <c r="M5" s="2" t="s">
        <v>32</v>
      </c>
      <c r="N5" s="3">
        <f>C28</f>
        <v>61.120420869885585</v>
      </c>
      <c r="O5" s="2">
        <v>488</v>
      </c>
      <c r="P5">
        <f t="shared" si="0"/>
        <v>2.9826765384504164</v>
      </c>
    </row>
    <row r="6" spans="1:18" ht="15.6" x14ac:dyDescent="0.25">
      <c r="A6" s="2"/>
      <c r="B6" s="2" t="s">
        <v>4</v>
      </c>
      <c r="C6" s="3">
        <f>在此导入!C54</f>
        <v>4.954034</v>
      </c>
      <c r="D6" s="2">
        <v>717</v>
      </c>
      <c r="E6">
        <f t="shared" si="1"/>
        <v>0.35520423779999999</v>
      </c>
      <c r="F6">
        <v>650</v>
      </c>
      <c r="G6">
        <f t="shared" si="5"/>
        <v>46.604999999999997</v>
      </c>
      <c r="H6">
        <f t="shared" si="2"/>
        <v>4.6604999999999997E-3</v>
      </c>
      <c r="I6">
        <f t="shared" si="3"/>
        <v>0.36529038575576511</v>
      </c>
      <c r="J6">
        <f t="shared" si="4"/>
        <v>0.7204946235557651</v>
      </c>
      <c r="L6" t="s">
        <v>14</v>
      </c>
      <c r="M6" s="2" t="s">
        <v>15</v>
      </c>
      <c r="N6" s="3">
        <f t="shared" ref="N6:N23" si="6">C29</f>
        <v>74.234874908310942</v>
      </c>
      <c r="O6" s="2">
        <v>468</v>
      </c>
      <c r="P6">
        <f t="shared" si="0"/>
        <v>3.474192145708952</v>
      </c>
    </row>
    <row r="7" spans="1:18" ht="15.6" x14ac:dyDescent="0.25">
      <c r="A7" s="2"/>
      <c r="B7" s="2" t="s">
        <v>5</v>
      </c>
      <c r="C7" s="3">
        <f>在此导入!C55</f>
        <v>4.954034</v>
      </c>
      <c r="D7" s="2">
        <v>717</v>
      </c>
      <c r="E7">
        <f t="shared" si="1"/>
        <v>0.35520423779999999</v>
      </c>
      <c r="F7">
        <v>650</v>
      </c>
      <c r="G7">
        <f t="shared" si="5"/>
        <v>46.604999999999997</v>
      </c>
      <c r="H7">
        <f t="shared" si="2"/>
        <v>4.6604999999999997E-3</v>
      </c>
      <c r="I7">
        <f t="shared" si="3"/>
        <v>0.36529038575576511</v>
      </c>
      <c r="J7">
        <f t="shared" si="4"/>
        <v>0.7204946235557651</v>
      </c>
      <c r="M7" s="2" t="s">
        <v>16</v>
      </c>
      <c r="N7" s="3">
        <f t="shared" si="6"/>
        <v>66.228898834820782</v>
      </c>
      <c r="O7" s="2">
        <v>468</v>
      </c>
      <c r="P7">
        <f t="shared" si="0"/>
        <v>3.0995124654696125</v>
      </c>
    </row>
    <row r="8" spans="1:18" ht="15.6" x14ac:dyDescent="0.25">
      <c r="A8" s="2"/>
      <c r="B8" s="2" t="s">
        <v>6</v>
      </c>
      <c r="C8" s="3">
        <f>在此导入!C56</f>
        <v>3.3564799999999999</v>
      </c>
      <c r="D8" s="2">
        <v>717</v>
      </c>
      <c r="E8">
        <f t="shared" si="1"/>
        <v>0.24065961599999999</v>
      </c>
      <c r="F8">
        <v>650</v>
      </c>
      <c r="G8">
        <f t="shared" si="5"/>
        <v>46.604999999999997</v>
      </c>
      <c r="H8">
        <f t="shared" si="2"/>
        <v>4.6604999999999997E-3</v>
      </c>
      <c r="I8">
        <f t="shared" si="3"/>
        <v>0.36529038575576511</v>
      </c>
      <c r="J8">
        <f t="shared" si="4"/>
        <v>0.60595000175576508</v>
      </c>
      <c r="M8" s="2" t="s">
        <v>17</v>
      </c>
      <c r="N8" s="3">
        <f t="shared" si="6"/>
        <v>84.97047325811323</v>
      </c>
      <c r="O8" s="2">
        <v>468</v>
      </c>
      <c r="P8">
        <f t="shared" si="0"/>
        <v>3.9766181484796994</v>
      </c>
    </row>
    <row r="9" spans="1:18" ht="15.6" x14ac:dyDescent="0.25">
      <c r="A9" t="s">
        <v>10</v>
      </c>
      <c r="B9" s="2" t="s">
        <v>12</v>
      </c>
      <c r="C9" s="3">
        <f>在此导入!C27</f>
        <v>60.689845463273379</v>
      </c>
      <c r="D9" s="2">
        <v>4</v>
      </c>
      <c r="E9">
        <f t="shared" si="1"/>
        <v>2.4275938185309352E-2</v>
      </c>
      <c r="F9">
        <v>0</v>
      </c>
      <c r="G9">
        <f t="shared" si="5"/>
        <v>0</v>
      </c>
      <c r="H9">
        <f t="shared" si="2"/>
        <v>0</v>
      </c>
      <c r="I9">
        <f t="shared" si="3"/>
        <v>0</v>
      </c>
      <c r="J9">
        <f t="shared" si="4"/>
        <v>2.4275938185309352E-2</v>
      </c>
      <c r="M9" s="2" t="s">
        <v>18</v>
      </c>
      <c r="N9" s="3">
        <f t="shared" si="6"/>
        <v>95.513344810440202</v>
      </c>
      <c r="O9" s="2">
        <v>468</v>
      </c>
      <c r="P9">
        <f t="shared" si="0"/>
        <v>4.4700245371286016</v>
      </c>
    </row>
    <row r="10" spans="1:18" ht="15.6" x14ac:dyDescent="0.25">
      <c r="B10" s="2" t="s">
        <v>13</v>
      </c>
      <c r="C10" s="3">
        <f>在此导入!C19</f>
        <v>61.049845463273378</v>
      </c>
      <c r="D10" s="2">
        <v>4</v>
      </c>
      <c r="E10">
        <f t="shared" si="1"/>
        <v>2.441993818530935E-2</v>
      </c>
      <c r="F10">
        <v>0</v>
      </c>
      <c r="G10">
        <f t="shared" si="5"/>
        <v>0</v>
      </c>
      <c r="H10">
        <f t="shared" si="2"/>
        <v>0</v>
      </c>
      <c r="I10">
        <f t="shared" si="3"/>
        <v>0</v>
      </c>
      <c r="J10">
        <f t="shared" si="4"/>
        <v>2.441993818530935E-2</v>
      </c>
      <c r="M10" s="2" t="s">
        <v>19</v>
      </c>
      <c r="N10" s="3">
        <f t="shared" si="6"/>
        <v>87.081845698928745</v>
      </c>
      <c r="O10" s="2">
        <v>468</v>
      </c>
      <c r="P10">
        <f t="shared" si="0"/>
        <v>4.0754303787098651</v>
      </c>
    </row>
    <row r="11" spans="1:18" ht="15.6" x14ac:dyDescent="0.25">
      <c r="A11" t="s">
        <v>66</v>
      </c>
      <c r="B11" s="4" t="s">
        <v>42</v>
      </c>
      <c r="C11" s="3">
        <f>在此导入!C30</f>
        <v>31.876479670612458</v>
      </c>
      <c r="D11" s="2">
        <v>290</v>
      </c>
      <c r="E11">
        <f t="shared" si="1"/>
        <v>0.92441791044776123</v>
      </c>
      <c r="F11">
        <v>500</v>
      </c>
      <c r="G11">
        <f t="shared" si="5"/>
        <v>14.5</v>
      </c>
      <c r="H11">
        <f t="shared" si="2"/>
        <v>1.4499999999999999E-3</v>
      </c>
      <c r="I11">
        <f t="shared" si="3"/>
        <v>0.11365112312967696</v>
      </c>
      <c r="J11">
        <f t="shared" si="4"/>
        <v>1.0380690335774383</v>
      </c>
      <c r="M11" s="2" t="s">
        <v>20</v>
      </c>
      <c r="N11" s="3">
        <f t="shared" si="6"/>
        <v>65.802332803579134</v>
      </c>
      <c r="O11" s="2">
        <v>468</v>
      </c>
      <c r="P11">
        <f t="shared" si="0"/>
        <v>3.0795491752075037</v>
      </c>
    </row>
    <row r="12" spans="1:18" ht="15.6" x14ac:dyDescent="0.25">
      <c r="B12" s="4" t="s">
        <v>43</v>
      </c>
      <c r="C12" s="3">
        <f>在此导入!C31</f>
        <v>26.457069628363946</v>
      </c>
      <c r="D12" s="2">
        <v>290</v>
      </c>
      <c r="E12">
        <f t="shared" si="1"/>
        <v>0.76725501922255446</v>
      </c>
      <c r="F12">
        <v>500</v>
      </c>
      <c r="G12">
        <f t="shared" si="5"/>
        <v>14.5</v>
      </c>
      <c r="H12">
        <f t="shared" si="2"/>
        <v>1.4499999999999999E-3</v>
      </c>
      <c r="I12">
        <f t="shared" si="3"/>
        <v>0.11365112312967696</v>
      </c>
      <c r="J12">
        <f t="shared" si="4"/>
        <v>0.88090614235223141</v>
      </c>
      <c r="M12" s="2" t="s">
        <v>21</v>
      </c>
      <c r="N12" s="3">
        <f t="shared" si="6"/>
        <v>63.342877118062837</v>
      </c>
      <c r="O12" s="2">
        <v>468</v>
      </c>
      <c r="P12">
        <f t="shared" si="0"/>
        <v>2.9644466491253407</v>
      </c>
    </row>
    <row r="13" spans="1:18" ht="15.6" x14ac:dyDescent="0.25">
      <c r="B13" s="4" t="s">
        <v>44</v>
      </c>
      <c r="C13" s="3">
        <f>在此导入!C32</f>
        <v>29.772151898734176</v>
      </c>
      <c r="D13" s="2">
        <v>290</v>
      </c>
      <c r="E13">
        <f t="shared" si="1"/>
        <v>0.86339240506329118</v>
      </c>
      <c r="F13">
        <v>500</v>
      </c>
      <c r="G13">
        <f t="shared" si="5"/>
        <v>14.5</v>
      </c>
      <c r="H13">
        <f t="shared" si="2"/>
        <v>1.4499999999999999E-3</v>
      </c>
      <c r="I13">
        <f t="shared" si="3"/>
        <v>0.11365112312967696</v>
      </c>
      <c r="J13">
        <f t="shared" si="4"/>
        <v>0.97704352819296814</v>
      </c>
      <c r="M13" s="2" t="s">
        <v>22</v>
      </c>
      <c r="N13" s="3">
        <f t="shared" si="6"/>
        <v>55.702368708324087</v>
      </c>
      <c r="O13" s="2">
        <v>468</v>
      </c>
      <c r="P13">
        <f t="shared" si="0"/>
        <v>2.606870855549567</v>
      </c>
    </row>
    <row r="14" spans="1:18" ht="15.6" x14ac:dyDescent="0.25">
      <c r="B14" s="4" t="s">
        <v>45</v>
      </c>
      <c r="C14" s="3">
        <f>在此导入!C33</f>
        <v>26.544</v>
      </c>
      <c r="D14" s="2">
        <v>290</v>
      </c>
      <c r="E14">
        <f t="shared" si="1"/>
        <v>0.76977600000000002</v>
      </c>
      <c r="F14">
        <v>500</v>
      </c>
      <c r="G14">
        <f t="shared" si="5"/>
        <v>14.5</v>
      </c>
      <c r="H14">
        <f t="shared" si="2"/>
        <v>1.4499999999999999E-3</v>
      </c>
      <c r="I14">
        <f t="shared" si="3"/>
        <v>0.11365112312967696</v>
      </c>
      <c r="J14">
        <f t="shared" si="4"/>
        <v>0.88342712312967697</v>
      </c>
      <c r="M14" s="2" t="s">
        <v>23</v>
      </c>
      <c r="N14" s="3">
        <f t="shared" si="6"/>
        <v>55.044824956501351</v>
      </c>
      <c r="O14" s="2">
        <v>468</v>
      </c>
      <c r="P14">
        <f t="shared" si="0"/>
        <v>2.5760978079642629</v>
      </c>
    </row>
    <row r="15" spans="1:18" ht="15.6" x14ac:dyDescent="0.25">
      <c r="B15" s="4" t="s">
        <v>46</v>
      </c>
      <c r="C15" s="3">
        <f>在此导入!C34</f>
        <v>31.871012006861065</v>
      </c>
      <c r="D15" s="2">
        <v>290</v>
      </c>
      <c r="E15">
        <f t="shared" si="1"/>
        <v>0.92425934819897082</v>
      </c>
      <c r="F15">
        <v>500</v>
      </c>
      <c r="G15">
        <f t="shared" si="5"/>
        <v>14.5</v>
      </c>
      <c r="H15">
        <f t="shared" si="2"/>
        <v>1.4499999999999999E-3</v>
      </c>
      <c r="I15">
        <f t="shared" si="3"/>
        <v>0.11365112312967696</v>
      </c>
      <c r="J15">
        <f t="shared" si="4"/>
        <v>1.0379104713286478</v>
      </c>
      <c r="M15" s="2" t="s">
        <v>24</v>
      </c>
      <c r="N15" s="3">
        <f t="shared" si="6"/>
        <v>79.782119513975772</v>
      </c>
      <c r="O15" s="2">
        <v>468</v>
      </c>
      <c r="P15">
        <f t="shared" si="0"/>
        <v>3.7338031932540661</v>
      </c>
    </row>
    <row r="16" spans="1:18" ht="15.6" x14ac:dyDescent="0.25">
      <c r="B16" s="4" t="s">
        <v>47</v>
      </c>
      <c r="C16" s="3">
        <f>在此导入!C36</f>
        <v>28.678499768482791</v>
      </c>
      <c r="D16" s="2">
        <v>290</v>
      </c>
      <c r="E16">
        <f t="shared" si="1"/>
        <v>0.83167649328600091</v>
      </c>
      <c r="F16">
        <v>500</v>
      </c>
      <c r="G16">
        <f t="shared" si="5"/>
        <v>14.5</v>
      </c>
      <c r="H16">
        <f t="shared" si="2"/>
        <v>1.4499999999999999E-3</v>
      </c>
      <c r="I16">
        <f t="shared" si="3"/>
        <v>0.11365112312967696</v>
      </c>
      <c r="J16">
        <f t="shared" si="4"/>
        <v>0.94532761641567786</v>
      </c>
      <c r="M16" s="2" t="s">
        <v>25</v>
      </c>
      <c r="N16" s="3">
        <f t="shared" si="6"/>
        <v>76.005607634756529</v>
      </c>
      <c r="O16" s="2">
        <v>468</v>
      </c>
      <c r="P16">
        <f t="shared" si="0"/>
        <v>3.5570624373066058</v>
      </c>
    </row>
    <row r="17" spans="1:18" ht="15.6" x14ac:dyDescent="0.25">
      <c r="B17" s="4" t="s">
        <v>48</v>
      </c>
      <c r="C17" s="3">
        <f>在此导入!C37</f>
        <v>29.743556907315511</v>
      </c>
      <c r="D17" s="2">
        <v>290</v>
      </c>
      <c r="E17">
        <f t="shared" si="1"/>
        <v>0.86256315031214981</v>
      </c>
      <c r="F17">
        <v>500</v>
      </c>
      <c r="G17">
        <f t="shared" si="5"/>
        <v>14.5</v>
      </c>
      <c r="H17">
        <f t="shared" si="2"/>
        <v>1.4499999999999999E-3</v>
      </c>
      <c r="I17">
        <f t="shared" si="3"/>
        <v>0.11365112312967696</v>
      </c>
      <c r="J17">
        <f t="shared" si="4"/>
        <v>0.97621427344182676</v>
      </c>
      <c r="M17" s="2" t="s">
        <v>26</v>
      </c>
      <c r="N17" s="3">
        <f t="shared" si="6"/>
        <v>53.480203712320225</v>
      </c>
      <c r="O17" s="2">
        <v>468</v>
      </c>
      <c r="P17">
        <f t="shared" si="0"/>
        <v>2.5028735337365866</v>
      </c>
    </row>
    <row r="18" spans="1:18" ht="15.6" x14ac:dyDescent="0.25">
      <c r="B18" s="4" t="s">
        <v>49</v>
      </c>
      <c r="C18" s="3">
        <f>在此导入!C39</f>
        <v>26.453302961275625</v>
      </c>
      <c r="D18" s="2">
        <v>290</v>
      </c>
      <c r="E18">
        <f t="shared" si="1"/>
        <v>0.76714578587699311</v>
      </c>
      <c r="F18">
        <v>500</v>
      </c>
      <c r="G18">
        <f t="shared" si="5"/>
        <v>14.5</v>
      </c>
      <c r="H18">
        <f t="shared" si="2"/>
        <v>1.4499999999999999E-3</v>
      </c>
      <c r="I18">
        <f t="shared" si="3"/>
        <v>0.11365112312967696</v>
      </c>
      <c r="J18">
        <f t="shared" si="4"/>
        <v>0.88079690900667007</v>
      </c>
      <c r="M18" s="2" t="s">
        <v>27</v>
      </c>
      <c r="N18" s="3">
        <f t="shared" si="6"/>
        <v>74.158288123613147</v>
      </c>
      <c r="O18" s="2">
        <v>468</v>
      </c>
      <c r="P18">
        <f t="shared" si="0"/>
        <v>3.4706078841850956</v>
      </c>
    </row>
    <row r="19" spans="1:18" ht="15.6" x14ac:dyDescent="0.25">
      <c r="B19" s="4" t="s">
        <v>50</v>
      </c>
      <c r="C19" s="3">
        <f>在此导入!C40</f>
        <v>24.4570696283639</v>
      </c>
      <c r="D19" s="2">
        <v>290</v>
      </c>
      <c r="E19">
        <f t="shared" si="1"/>
        <v>0.70925501922255307</v>
      </c>
      <c r="F19">
        <v>500</v>
      </c>
      <c r="G19">
        <f t="shared" si="5"/>
        <v>14.5</v>
      </c>
      <c r="H19">
        <f t="shared" si="2"/>
        <v>1.4499999999999999E-3</v>
      </c>
      <c r="I19">
        <f t="shared" si="3"/>
        <v>0.11365112312967696</v>
      </c>
      <c r="J19">
        <f t="shared" si="4"/>
        <v>0.82290614235223003</v>
      </c>
      <c r="M19" s="2" t="s">
        <v>28</v>
      </c>
      <c r="N19" s="3">
        <f t="shared" si="6"/>
        <v>49.683406352769509</v>
      </c>
      <c r="O19" s="2">
        <v>468</v>
      </c>
      <c r="P19">
        <f t="shared" si="0"/>
        <v>2.3251834173096131</v>
      </c>
    </row>
    <row r="20" spans="1:18" ht="15.6" x14ac:dyDescent="0.25">
      <c r="B20" s="4" t="s">
        <v>51</v>
      </c>
      <c r="C20" s="3">
        <f>在此导入!C41</f>
        <v>26.464606181455636</v>
      </c>
      <c r="D20" s="2">
        <v>290</v>
      </c>
      <c r="E20">
        <f t="shared" si="1"/>
        <v>0.76747357926221349</v>
      </c>
      <c r="F20">
        <v>500</v>
      </c>
      <c r="G20">
        <f t="shared" si="5"/>
        <v>14.5</v>
      </c>
      <c r="H20">
        <f t="shared" si="2"/>
        <v>1.4499999999999999E-3</v>
      </c>
      <c r="I20">
        <f t="shared" si="3"/>
        <v>0.11365112312967696</v>
      </c>
      <c r="J20">
        <f t="shared" si="4"/>
        <v>0.88112470239189045</v>
      </c>
      <c r="M20" s="2" t="s">
        <v>29</v>
      </c>
      <c r="N20" s="3">
        <f t="shared" si="6"/>
        <v>72.109488698105679</v>
      </c>
      <c r="O20" s="2">
        <v>468</v>
      </c>
      <c r="P20">
        <f t="shared" si="0"/>
        <v>3.3747240710713458</v>
      </c>
    </row>
    <row r="21" spans="1:18" ht="15.6" x14ac:dyDescent="0.25">
      <c r="B21" s="4" t="s">
        <v>52</v>
      </c>
      <c r="C21" s="3">
        <f>在此导入!C43</f>
        <v>23.870503597122301</v>
      </c>
      <c r="D21" s="2">
        <v>290</v>
      </c>
      <c r="E21">
        <f t="shared" si="1"/>
        <v>0.69224460431654666</v>
      </c>
      <c r="F21">
        <v>500</v>
      </c>
      <c r="G21">
        <f t="shared" si="5"/>
        <v>14.5</v>
      </c>
      <c r="H21">
        <f t="shared" si="2"/>
        <v>1.4499999999999999E-3</v>
      </c>
      <c r="I21">
        <f t="shared" si="3"/>
        <v>0.11365112312967696</v>
      </c>
      <c r="J21">
        <f t="shared" si="4"/>
        <v>0.80589572744622362</v>
      </c>
      <c r="M21" s="2" t="s">
        <v>30</v>
      </c>
      <c r="N21" s="3">
        <f t="shared" si="6"/>
        <v>62.52535100527259</v>
      </c>
      <c r="O21" s="2">
        <v>468</v>
      </c>
      <c r="P21">
        <f t="shared" si="0"/>
        <v>2.9261864270467575</v>
      </c>
    </row>
    <row r="22" spans="1:18" ht="15.6" x14ac:dyDescent="0.25">
      <c r="B22" s="4" t="s">
        <v>53</v>
      </c>
      <c r="C22" s="3">
        <f>在此导入!C44</f>
        <v>23.870503597122301</v>
      </c>
      <c r="D22" s="2">
        <v>290</v>
      </c>
      <c r="E22">
        <f t="shared" si="1"/>
        <v>0.69224460431654666</v>
      </c>
      <c r="F22">
        <v>500</v>
      </c>
      <c r="G22">
        <f t="shared" si="5"/>
        <v>14.5</v>
      </c>
      <c r="H22">
        <f t="shared" si="2"/>
        <v>1.4499999999999999E-3</v>
      </c>
      <c r="I22">
        <f t="shared" si="3"/>
        <v>0.11365112312967696</v>
      </c>
      <c r="J22">
        <f t="shared" si="4"/>
        <v>0.80589572744622362</v>
      </c>
      <c r="M22" s="2" t="s">
        <v>31</v>
      </c>
      <c r="N22" s="3">
        <f t="shared" si="6"/>
        <v>22.021325609334536</v>
      </c>
      <c r="O22" s="2">
        <v>468</v>
      </c>
      <c r="P22">
        <f t="shared" si="0"/>
        <v>1.0305980385168563</v>
      </c>
    </row>
    <row r="23" spans="1:18" ht="15.6" x14ac:dyDescent="0.25">
      <c r="B23" s="4" t="s">
        <v>54</v>
      </c>
      <c r="C23" s="3">
        <f>在此导入!C46</f>
        <v>22.305882352941179</v>
      </c>
      <c r="D23" s="2">
        <v>290</v>
      </c>
      <c r="E23">
        <f t="shared" si="1"/>
        <v>0.6468705882352942</v>
      </c>
      <c r="F23">
        <v>500</v>
      </c>
      <c r="G23">
        <f t="shared" si="5"/>
        <v>14.5</v>
      </c>
      <c r="H23">
        <f t="shared" si="2"/>
        <v>1.4499999999999999E-3</v>
      </c>
      <c r="I23">
        <f t="shared" si="3"/>
        <v>0.11365112312967696</v>
      </c>
      <c r="J23">
        <f t="shared" si="4"/>
        <v>0.76052171136497115</v>
      </c>
      <c r="M23" s="2" t="s">
        <v>33</v>
      </c>
      <c r="N23" s="3">
        <f t="shared" si="6"/>
        <v>20.581325609334531</v>
      </c>
      <c r="O23" s="2">
        <v>468</v>
      </c>
      <c r="P23">
        <f t="shared" si="0"/>
        <v>0.96320603851685604</v>
      </c>
    </row>
    <row r="24" spans="1:18" ht="15.6" x14ac:dyDescent="0.25">
      <c r="B24" s="4" t="s">
        <v>11</v>
      </c>
      <c r="C24" s="3">
        <f>在此导入!C47</f>
        <v>19.118016256816546</v>
      </c>
      <c r="D24" s="2">
        <v>290</v>
      </c>
      <c r="E24">
        <f t="shared" si="1"/>
        <v>0.55442247144767975</v>
      </c>
      <c r="F24">
        <v>500</v>
      </c>
      <c r="G24">
        <f t="shared" si="5"/>
        <v>14.5</v>
      </c>
      <c r="H24">
        <f t="shared" si="2"/>
        <v>1.4499999999999999E-3</v>
      </c>
      <c r="I24">
        <f t="shared" si="3"/>
        <v>0.11365112312967696</v>
      </c>
      <c r="J24">
        <f t="shared" si="4"/>
        <v>0.66807359457735671</v>
      </c>
      <c r="L24" t="s">
        <v>34</v>
      </c>
      <c r="M24" s="2" t="s">
        <v>35</v>
      </c>
      <c r="N24" s="3">
        <f>在此导入!C3</f>
        <v>243.31303122934833</v>
      </c>
      <c r="O24" s="2">
        <v>168</v>
      </c>
      <c r="P24">
        <f t="shared" si="0"/>
        <v>4.0876589246530521</v>
      </c>
    </row>
    <row r="25" spans="1:18" ht="15.6" x14ac:dyDescent="0.25">
      <c r="B25" s="4" t="s">
        <v>55</v>
      </c>
      <c r="C25" s="3">
        <f>在此导入!C48</f>
        <v>19.118016256816546</v>
      </c>
      <c r="D25" s="2">
        <v>290</v>
      </c>
      <c r="E25">
        <f t="shared" si="1"/>
        <v>0.55442247144767975</v>
      </c>
      <c r="F25">
        <v>500</v>
      </c>
      <c r="G25">
        <f t="shared" si="5"/>
        <v>14.5</v>
      </c>
      <c r="H25">
        <f t="shared" si="2"/>
        <v>1.4499999999999999E-3</v>
      </c>
      <c r="I25">
        <f t="shared" si="3"/>
        <v>0.11365112312967696</v>
      </c>
      <c r="J25">
        <f t="shared" si="4"/>
        <v>0.66807359457735671</v>
      </c>
      <c r="M25" s="2" t="s">
        <v>36</v>
      </c>
      <c r="N25" s="3">
        <f>在此导入!C4</f>
        <v>258.88598916982784</v>
      </c>
      <c r="O25" s="2">
        <v>168</v>
      </c>
      <c r="P25">
        <f t="shared" si="0"/>
        <v>4.3492846180531082</v>
      </c>
    </row>
    <row r="26" spans="1:18" ht="15.6" x14ac:dyDescent="0.25">
      <c r="B26" s="4" t="s">
        <v>56</v>
      </c>
      <c r="C26" s="3">
        <f>在此导入!C49</f>
        <v>23.666794038975926</v>
      </c>
      <c r="D26" s="2">
        <v>290</v>
      </c>
      <c r="E26">
        <f t="shared" si="1"/>
        <v>0.68633702713030187</v>
      </c>
      <c r="F26">
        <v>500</v>
      </c>
      <c r="G26">
        <f t="shared" si="5"/>
        <v>14.5</v>
      </c>
      <c r="H26">
        <f t="shared" si="2"/>
        <v>1.4499999999999999E-3</v>
      </c>
      <c r="I26">
        <f t="shared" si="3"/>
        <v>0.11365112312967696</v>
      </c>
      <c r="J26">
        <f t="shared" si="4"/>
        <v>0.79998815025997883</v>
      </c>
      <c r="M26" s="2" t="s">
        <v>37</v>
      </c>
      <c r="N26" s="3">
        <f>在此导入!C5</f>
        <v>211.2126163556313</v>
      </c>
      <c r="O26" s="2">
        <v>168</v>
      </c>
      <c r="P26">
        <f t="shared" si="0"/>
        <v>3.5483719547746055</v>
      </c>
    </row>
    <row r="27" spans="1:18" ht="15.6" x14ac:dyDescent="0.25">
      <c r="B27" s="4" t="s">
        <v>57</v>
      </c>
      <c r="C27" s="3">
        <f>在此导入!C50</f>
        <v>16.084277879341901</v>
      </c>
      <c r="D27" s="2">
        <v>290</v>
      </c>
      <c r="E27">
        <f t="shared" si="1"/>
        <v>0.46644405850091514</v>
      </c>
      <c r="F27">
        <v>500</v>
      </c>
      <c r="G27">
        <f t="shared" si="5"/>
        <v>14.5</v>
      </c>
      <c r="H27">
        <f t="shared" si="2"/>
        <v>1.4499999999999999E-3</v>
      </c>
      <c r="I27">
        <f t="shared" si="3"/>
        <v>0.11365112312967696</v>
      </c>
      <c r="J27">
        <f t="shared" si="4"/>
        <v>0.58009518163059215</v>
      </c>
      <c r="M27" s="2" t="s">
        <v>38</v>
      </c>
      <c r="N27" s="3">
        <f>在此导入!C6</f>
        <v>121.54503714588637</v>
      </c>
      <c r="O27" s="2">
        <v>168</v>
      </c>
      <c r="P27">
        <f t="shared" si="0"/>
        <v>2.0419566240508908</v>
      </c>
    </row>
    <row r="28" spans="1:18" ht="15.6" x14ac:dyDescent="0.25">
      <c r="A28" t="s">
        <v>14</v>
      </c>
      <c r="B28" s="2" t="s">
        <v>32</v>
      </c>
      <c r="C28" s="3">
        <f>在此导入!C28</f>
        <v>61.120420869885585</v>
      </c>
      <c r="D28" s="2">
        <v>40</v>
      </c>
      <c r="E28">
        <f t="shared" si="1"/>
        <v>0.24448168347954233</v>
      </c>
      <c r="F28">
        <v>0</v>
      </c>
      <c r="G28">
        <f t="shared" si="5"/>
        <v>0</v>
      </c>
      <c r="H28">
        <f t="shared" si="2"/>
        <v>0</v>
      </c>
      <c r="I28">
        <f t="shared" si="3"/>
        <v>0</v>
      </c>
      <c r="J28">
        <f t="shared" si="4"/>
        <v>0.24448168347954233</v>
      </c>
      <c r="M28" s="2" t="s">
        <v>39</v>
      </c>
      <c r="N28" s="3">
        <f>在此导入!C7</f>
        <v>93.282046208458283</v>
      </c>
      <c r="O28" s="2">
        <v>168</v>
      </c>
      <c r="P28">
        <f t="shared" si="0"/>
        <v>1.5671383763020992</v>
      </c>
    </row>
    <row r="29" spans="1:18" ht="15.6" x14ac:dyDescent="0.25">
      <c r="B29" s="2" t="s">
        <v>15</v>
      </c>
      <c r="C29" s="3">
        <f>在此导入!C9</f>
        <v>74.234874908310942</v>
      </c>
      <c r="D29" s="2">
        <v>40</v>
      </c>
      <c r="E29">
        <f t="shared" si="1"/>
        <v>0.29693949963324373</v>
      </c>
      <c r="F29">
        <v>0</v>
      </c>
      <c r="G29">
        <f t="shared" si="5"/>
        <v>0</v>
      </c>
      <c r="H29">
        <f t="shared" si="2"/>
        <v>0</v>
      </c>
      <c r="I29">
        <f t="shared" si="3"/>
        <v>0</v>
      </c>
      <c r="J29">
        <f t="shared" si="4"/>
        <v>0.29693949963324373</v>
      </c>
      <c r="M29" s="2" t="s">
        <v>40</v>
      </c>
      <c r="N29" s="3">
        <f>在此导入!C8</f>
        <v>304.11023290125274</v>
      </c>
      <c r="O29" s="2">
        <v>168</v>
      </c>
      <c r="P29">
        <f t="shared" si="0"/>
        <v>5.1090519127410454</v>
      </c>
    </row>
    <row r="30" spans="1:18" ht="15.6" x14ac:dyDescent="0.25">
      <c r="B30" s="2" t="s">
        <v>16</v>
      </c>
      <c r="C30" s="3">
        <f>在此导入!C10</f>
        <v>66.228898834820782</v>
      </c>
      <c r="D30" s="2">
        <v>40</v>
      </c>
      <c r="E30">
        <f t="shared" si="1"/>
        <v>0.26491559533928311</v>
      </c>
      <c r="F30">
        <v>0</v>
      </c>
      <c r="G30">
        <f t="shared" si="5"/>
        <v>0</v>
      </c>
      <c r="H30">
        <f t="shared" si="2"/>
        <v>0</v>
      </c>
      <c r="I30">
        <f t="shared" si="3"/>
        <v>0</v>
      </c>
      <c r="J30">
        <f t="shared" si="4"/>
        <v>0.26491559533928311</v>
      </c>
      <c r="L30" t="s">
        <v>58</v>
      </c>
      <c r="O30">
        <f>SUM(O3:O29)</f>
        <v>10000</v>
      </c>
      <c r="P30">
        <f>SUM(P3:P29)</f>
        <v>78.380084917018593</v>
      </c>
      <c r="R30">
        <f>P30/E47</f>
        <v>3.954174875983322</v>
      </c>
    </row>
    <row r="31" spans="1:18" ht="15.6" x14ac:dyDescent="0.25">
      <c r="B31" s="2" t="s">
        <v>17</v>
      </c>
      <c r="C31" s="3">
        <f>在此导入!C11</f>
        <v>84.97047325811323</v>
      </c>
      <c r="D31" s="2">
        <v>40</v>
      </c>
      <c r="E31">
        <f t="shared" si="1"/>
        <v>0.33988189303245292</v>
      </c>
      <c r="F31">
        <v>0</v>
      </c>
      <c r="G31">
        <f t="shared" si="5"/>
        <v>0</v>
      </c>
      <c r="H31">
        <f t="shared" si="2"/>
        <v>0</v>
      </c>
      <c r="I31">
        <f t="shared" si="3"/>
        <v>0</v>
      </c>
      <c r="J31">
        <f t="shared" si="4"/>
        <v>0.33988189303245292</v>
      </c>
    </row>
    <row r="32" spans="1:18" ht="15.6" x14ac:dyDescent="0.25">
      <c r="B32" s="2" t="s">
        <v>18</v>
      </c>
      <c r="C32" s="3">
        <f>在此导入!C12</f>
        <v>95.513344810440202</v>
      </c>
      <c r="D32" s="2">
        <v>40</v>
      </c>
      <c r="E32">
        <f t="shared" si="1"/>
        <v>0.3820533792417608</v>
      </c>
      <c r="F32">
        <v>0</v>
      </c>
      <c r="G32">
        <f t="shared" si="5"/>
        <v>0</v>
      </c>
      <c r="H32">
        <f t="shared" si="2"/>
        <v>0</v>
      </c>
      <c r="I32">
        <f t="shared" si="3"/>
        <v>0</v>
      </c>
      <c r="J32">
        <f t="shared" si="4"/>
        <v>0.3820533792417608</v>
      </c>
    </row>
    <row r="33" spans="1:10" ht="15.6" x14ac:dyDescent="0.25">
      <c r="B33" s="2" t="s">
        <v>19</v>
      </c>
      <c r="C33" s="3">
        <f>在此导入!C13</f>
        <v>87.081845698928745</v>
      </c>
      <c r="D33" s="2">
        <v>40</v>
      </c>
      <c r="E33">
        <f t="shared" si="1"/>
        <v>0.34832738279571501</v>
      </c>
      <c r="F33">
        <v>0</v>
      </c>
      <c r="G33">
        <f t="shared" si="5"/>
        <v>0</v>
      </c>
      <c r="H33">
        <f t="shared" si="2"/>
        <v>0</v>
      </c>
      <c r="I33">
        <f t="shared" si="3"/>
        <v>0</v>
      </c>
      <c r="J33">
        <f t="shared" si="4"/>
        <v>0.34832738279571501</v>
      </c>
    </row>
    <row r="34" spans="1:10" ht="15.6" x14ac:dyDescent="0.25">
      <c r="B34" s="2" t="s">
        <v>20</v>
      </c>
      <c r="C34" s="3">
        <f>在此导入!C14</f>
        <v>65.802332803579134</v>
      </c>
      <c r="D34" s="2">
        <v>40</v>
      </c>
      <c r="E34">
        <f t="shared" si="1"/>
        <v>0.26320933121431656</v>
      </c>
      <c r="F34">
        <v>0</v>
      </c>
      <c r="G34">
        <f t="shared" si="5"/>
        <v>0</v>
      </c>
      <c r="H34">
        <f t="shared" si="2"/>
        <v>0</v>
      </c>
      <c r="I34">
        <f t="shared" si="3"/>
        <v>0</v>
      </c>
      <c r="J34">
        <f t="shared" si="4"/>
        <v>0.26320933121431656</v>
      </c>
    </row>
    <row r="35" spans="1:10" ht="15.6" x14ac:dyDescent="0.25">
      <c r="B35" s="2" t="s">
        <v>21</v>
      </c>
      <c r="C35" s="3">
        <f>在此导入!C15</f>
        <v>63.342877118062837</v>
      </c>
      <c r="D35" s="2">
        <v>40</v>
      </c>
      <c r="E35">
        <f t="shared" si="1"/>
        <v>0.25337150847225132</v>
      </c>
      <c r="F35">
        <v>0</v>
      </c>
      <c r="G35">
        <f t="shared" si="5"/>
        <v>0</v>
      </c>
      <c r="H35">
        <f t="shared" si="2"/>
        <v>0</v>
      </c>
      <c r="I35">
        <f t="shared" si="3"/>
        <v>0</v>
      </c>
      <c r="J35">
        <f t="shared" si="4"/>
        <v>0.25337150847225132</v>
      </c>
    </row>
    <row r="36" spans="1:10" ht="15.6" x14ac:dyDescent="0.25">
      <c r="B36" s="2" t="s">
        <v>22</v>
      </c>
      <c r="C36" s="3">
        <f>在此导入!C16</f>
        <v>55.702368708324087</v>
      </c>
      <c r="D36" s="2">
        <v>40</v>
      </c>
      <c r="E36">
        <f t="shared" si="1"/>
        <v>0.22280947483329638</v>
      </c>
      <c r="F36">
        <v>0</v>
      </c>
      <c r="G36">
        <f t="shared" si="5"/>
        <v>0</v>
      </c>
      <c r="H36">
        <f t="shared" si="2"/>
        <v>0</v>
      </c>
      <c r="I36">
        <f t="shared" si="3"/>
        <v>0</v>
      </c>
      <c r="J36">
        <f t="shared" si="4"/>
        <v>0.22280947483329638</v>
      </c>
    </row>
    <row r="37" spans="1:10" ht="15.6" x14ac:dyDescent="0.25">
      <c r="B37" s="2" t="s">
        <v>23</v>
      </c>
      <c r="C37" s="3">
        <f>在此导入!C17</f>
        <v>55.044824956501351</v>
      </c>
      <c r="D37" s="2">
        <v>40</v>
      </c>
      <c r="E37">
        <f t="shared" si="1"/>
        <v>0.2201792998260054</v>
      </c>
      <c r="F37">
        <v>0</v>
      </c>
      <c r="G37">
        <f t="shared" si="5"/>
        <v>0</v>
      </c>
      <c r="H37">
        <f t="shared" si="2"/>
        <v>0</v>
      </c>
      <c r="I37">
        <f t="shared" si="3"/>
        <v>0</v>
      </c>
      <c r="J37">
        <f t="shared" si="4"/>
        <v>0.2201792998260054</v>
      </c>
    </row>
    <row r="38" spans="1:10" ht="15.6" x14ac:dyDescent="0.25">
      <c r="B38" s="2" t="s">
        <v>24</v>
      </c>
      <c r="C38" s="3">
        <f>在此导入!C18</f>
        <v>79.782119513975772</v>
      </c>
      <c r="D38" s="2">
        <v>40</v>
      </c>
      <c r="E38">
        <f t="shared" si="1"/>
        <v>0.31912847805590311</v>
      </c>
      <c r="F38">
        <v>0</v>
      </c>
      <c r="G38">
        <f t="shared" si="5"/>
        <v>0</v>
      </c>
      <c r="H38">
        <f t="shared" si="2"/>
        <v>0</v>
      </c>
      <c r="I38">
        <f t="shared" si="3"/>
        <v>0</v>
      </c>
      <c r="J38">
        <f t="shared" si="4"/>
        <v>0.31912847805590311</v>
      </c>
    </row>
    <row r="39" spans="1:10" ht="15.6" x14ac:dyDescent="0.25">
      <c r="B39" s="2" t="s">
        <v>25</v>
      </c>
      <c r="C39" s="3">
        <f>在此导入!C20</f>
        <v>76.005607634756529</v>
      </c>
      <c r="D39" s="2">
        <v>40</v>
      </c>
      <c r="E39">
        <f t="shared" si="1"/>
        <v>0.30402243053902611</v>
      </c>
      <c r="F39">
        <v>0</v>
      </c>
      <c r="G39">
        <f t="shared" si="5"/>
        <v>0</v>
      </c>
      <c r="H39">
        <f t="shared" si="2"/>
        <v>0</v>
      </c>
      <c r="I39">
        <f t="shared" si="3"/>
        <v>0</v>
      </c>
      <c r="J39">
        <f t="shared" si="4"/>
        <v>0.30402243053902611</v>
      </c>
    </row>
    <row r="40" spans="1:10" ht="15.6" x14ac:dyDescent="0.25">
      <c r="B40" s="2" t="s">
        <v>26</v>
      </c>
      <c r="C40" s="3">
        <f>在此导入!C21</f>
        <v>53.480203712320225</v>
      </c>
      <c r="D40" s="2">
        <v>40</v>
      </c>
      <c r="E40">
        <f t="shared" si="1"/>
        <v>0.21392081484928088</v>
      </c>
      <c r="F40">
        <v>0</v>
      </c>
      <c r="G40">
        <f t="shared" si="5"/>
        <v>0</v>
      </c>
      <c r="H40">
        <f t="shared" si="2"/>
        <v>0</v>
      </c>
      <c r="I40">
        <f t="shared" si="3"/>
        <v>0</v>
      </c>
      <c r="J40">
        <f t="shared" si="4"/>
        <v>0.21392081484928088</v>
      </c>
    </row>
    <row r="41" spans="1:10" ht="15.6" x14ac:dyDescent="0.25">
      <c r="B41" s="2" t="s">
        <v>27</v>
      </c>
      <c r="C41" s="3">
        <f>在此导入!C22</f>
        <v>74.158288123613147</v>
      </c>
      <c r="D41" s="2">
        <v>40</v>
      </c>
      <c r="E41">
        <f t="shared" si="1"/>
        <v>0.2966331524944526</v>
      </c>
      <c r="F41">
        <v>0</v>
      </c>
      <c r="G41">
        <f t="shared" si="5"/>
        <v>0</v>
      </c>
      <c r="H41">
        <f t="shared" si="2"/>
        <v>0</v>
      </c>
      <c r="I41">
        <f t="shared" si="3"/>
        <v>0</v>
      </c>
      <c r="J41">
        <f t="shared" si="4"/>
        <v>0.2966331524944526</v>
      </c>
    </row>
    <row r="42" spans="1:10" ht="15.6" x14ac:dyDescent="0.25">
      <c r="B42" s="2" t="s">
        <v>28</v>
      </c>
      <c r="C42" s="3">
        <f>在此导入!C23</f>
        <v>49.683406352769509</v>
      </c>
      <c r="D42" s="2">
        <v>40</v>
      </c>
      <c r="E42">
        <f t="shared" si="1"/>
        <v>0.19873362541107803</v>
      </c>
      <c r="F42">
        <v>0</v>
      </c>
      <c r="G42">
        <f t="shared" si="5"/>
        <v>0</v>
      </c>
      <c r="H42">
        <f t="shared" si="2"/>
        <v>0</v>
      </c>
      <c r="I42">
        <f t="shared" si="3"/>
        <v>0</v>
      </c>
      <c r="J42">
        <f t="shared" si="4"/>
        <v>0.19873362541107803</v>
      </c>
    </row>
    <row r="43" spans="1:10" ht="15.6" x14ac:dyDescent="0.25">
      <c r="B43" s="2" t="s">
        <v>29</v>
      </c>
      <c r="C43" s="3">
        <f>在此导入!C24</f>
        <v>72.109488698105679</v>
      </c>
      <c r="D43" s="2">
        <v>40</v>
      </c>
      <c r="E43">
        <f>C43*D43/10000</f>
        <v>0.28843795479242273</v>
      </c>
      <c r="F43">
        <v>0</v>
      </c>
      <c r="G43">
        <f t="shared" si="5"/>
        <v>0</v>
      </c>
      <c r="H43">
        <f t="shared" si="2"/>
        <v>0</v>
      </c>
      <c r="I43">
        <f t="shared" si="3"/>
        <v>0</v>
      </c>
      <c r="J43">
        <f t="shared" si="4"/>
        <v>0.28843795479242273</v>
      </c>
    </row>
    <row r="44" spans="1:10" ht="15.6" x14ac:dyDescent="0.25">
      <c r="B44" s="2" t="s">
        <v>30</v>
      </c>
      <c r="C44" s="3">
        <f>在此导入!C25</f>
        <v>62.52535100527259</v>
      </c>
      <c r="D44" s="2">
        <v>40</v>
      </c>
      <c r="E44">
        <f>C44*D44/10000</f>
        <v>0.25010140402109038</v>
      </c>
      <c r="F44">
        <v>0</v>
      </c>
      <c r="G44">
        <f t="shared" si="5"/>
        <v>0</v>
      </c>
      <c r="H44">
        <f t="shared" si="2"/>
        <v>0</v>
      </c>
      <c r="I44">
        <f t="shared" si="3"/>
        <v>0</v>
      </c>
      <c r="J44">
        <f t="shared" si="4"/>
        <v>0.25010140402109038</v>
      </c>
    </row>
    <row r="45" spans="1:10" ht="15.6" x14ac:dyDescent="0.25">
      <c r="B45" s="2" t="s">
        <v>31</v>
      </c>
      <c r="C45" s="3">
        <f>在此导入!C26</f>
        <v>22.021325609334536</v>
      </c>
      <c r="D45" s="2">
        <v>40</v>
      </c>
      <c r="E45">
        <f>C45*D45/10000</f>
        <v>8.8085302437338142E-2</v>
      </c>
      <c r="F45">
        <v>0</v>
      </c>
      <c r="G45">
        <f t="shared" si="5"/>
        <v>0</v>
      </c>
      <c r="H45">
        <f t="shared" si="2"/>
        <v>0</v>
      </c>
      <c r="I45">
        <f t="shared" si="3"/>
        <v>0</v>
      </c>
      <c r="J45">
        <f t="shared" si="4"/>
        <v>8.8085302437338142E-2</v>
      </c>
    </row>
    <row r="46" spans="1:10" ht="15.6" x14ac:dyDescent="0.25">
      <c r="B46" s="2" t="s">
        <v>33</v>
      </c>
      <c r="C46" s="3">
        <f>在此导入!C29</f>
        <v>20.581325609334531</v>
      </c>
      <c r="D46" s="2">
        <v>40</v>
      </c>
      <c r="E46">
        <f>C46*D46/10000</f>
        <v>8.2325302437338127E-2</v>
      </c>
      <c r="F46">
        <v>0</v>
      </c>
      <c r="G46">
        <f t="shared" si="5"/>
        <v>0</v>
      </c>
      <c r="H46">
        <f t="shared" si="2"/>
        <v>0</v>
      </c>
      <c r="I46">
        <f t="shared" si="3"/>
        <v>0</v>
      </c>
      <c r="J46">
        <f t="shared" si="4"/>
        <v>8.2325302437338127E-2</v>
      </c>
    </row>
    <row r="47" spans="1:10" x14ac:dyDescent="0.25">
      <c r="A47" t="s">
        <v>58</v>
      </c>
      <c r="D47" s="2">
        <v>10000</v>
      </c>
      <c r="E47">
        <f t="shared" ref="E47:I47" si="7">SUM(E3:E46)</f>
        <v>19.822108878663865</v>
      </c>
      <c r="F47">
        <f t="shared" si="7"/>
        <v>12400</v>
      </c>
      <c r="G47">
        <f t="shared" si="7"/>
        <v>526.13</v>
      </c>
      <c r="H47">
        <f t="shared" si="7"/>
        <v>5.2612999999999993E-2</v>
      </c>
      <c r="I47">
        <f t="shared" si="7"/>
        <v>4.1238114077391002</v>
      </c>
      <c r="J47">
        <f>SUM(J3:J46)</f>
        <v>23.945920286402963</v>
      </c>
    </row>
    <row r="48" spans="1:10" x14ac:dyDescent="0.25">
      <c r="D48" s="2"/>
    </row>
    <row r="49" spans="1:6" x14ac:dyDescent="0.25">
      <c r="A49" s="6" t="s">
        <v>330</v>
      </c>
      <c r="B49" s="6" t="s">
        <v>80</v>
      </c>
      <c r="C49">
        <f>J47/2</f>
        <v>11.972960143201481</v>
      </c>
      <c r="D49" s="6" t="s">
        <v>81</v>
      </c>
    </row>
    <row r="50" spans="1:6" x14ac:dyDescent="0.25">
      <c r="B50" s="6" t="s">
        <v>82</v>
      </c>
      <c r="C50">
        <f>$C$49*30%</f>
        <v>3.5918880429604445</v>
      </c>
      <c r="D50" s="7" t="s">
        <v>81</v>
      </c>
      <c r="E50" s="6" t="s">
        <v>331</v>
      </c>
      <c r="F50">
        <f>$C$49*20%</f>
        <v>2.3945920286402962</v>
      </c>
    </row>
    <row r="51" spans="1:6" x14ac:dyDescent="0.25">
      <c r="B51" s="6" t="s">
        <v>318</v>
      </c>
      <c r="C51">
        <f>C50/在此导入!C67</f>
        <v>997.74667860012346</v>
      </c>
      <c r="D51" s="7" t="s">
        <v>319</v>
      </c>
      <c r="F51">
        <f>F50/在此导入!C67</f>
        <v>665.16445240008227</v>
      </c>
    </row>
    <row r="52" spans="1:6" x14ac:dyDescent="0.25">
      <c r="B52" s="6" t="s">
        <v>318</v>
      </c>
      <c r="C52">
        <f>C51*((在此导入!G5+在此导入!G6)/在此导入!G4)</f>
        <v>1042.7954416807311</v>
      </c>
      <c r="D52" s="7" t="s">
        <v>325</v>
      </c>
      <c r="F52">
        <f>F51*((在此导入!G5+在此导入!G6)/在此导入!G4)</f>
        <v>695.19696112048734</v>
      </c>
    </row>
    <row r="53" spans="1:6" x14ac:dyDescent="0.25">
      <c r="B53" s="6" t="s">
        <v>318</v>
      </c>
      <c r="C53" s="10">
        <f>C52/8000</f>
        <v>0.13034943021009138</v>
      </c>
      <c r="D53" s="7" t="s">
        <v>326</v>
      </c>
      <c r="E53" s="6"/>
      <c r="F53" s="10">
        <f>F52/8000</f>
        <v>8.6899620140060918E-2</v>
      </c>
    </row>
    <row r="55" spans="1:6" x14ac:dyDescent="0.25">
      <c r="D55" s="2"/>
    </row>
    <row r="56" spans="1:6" x14ac:dyDescent="0.25">
      <c r="D56" s="2"/>
    </row>
    <row r="57" spans="1:6" x14ac:dyDescent="0.25">
      <c r="D57" s="2"/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78B8-F5A0-4D12-8029-D073DA826036}">
  <dimension ref="A1:R57"/>
  <sheetViews>
    <sheetView zoomScaleNormal="100" workbookViewId="0">
      <selection activeCell="K10" sqref="K10"/>
    </sheetView>
  </sheetViews>
  <sheetFormatPr defaultColWidth="10" defaultRowHeight="13.8" x14ac:dyDescent="0.25"/>
  <cols>
    <col min="1" max="1" width="16.44140625" bestFit="1" customWidth="1"/>
    <col min="2" max="2" width="13.6640625" bestFit="1" customWidth="1"/>
    <col min="3" max="3" width="12.33203125" bestFit="1" customWidth="1"/>
    <col min="4" max="4" width="10.44140625" bestFit="1" customWidth="1"/>
    <col min="5" max="6" width="12.33203125" bestFit="1" customWidth="1"/>
    <col min="7" max="7" width="8.44140625" bestFit="1" customWidth="1"/>
    <col min="8" max="9" width="13.44140625" bestFit="1" customWidth="1"/>
    <col min="10" max="10" width="12.33203125" bestFit="1" customWidth="1"/>
    <col min="11" max="11" width="10.44140625" bestFit="1" customWidth="1"/>
    <col min="12" max="12" width="15.44140625" bestFit="1" customWidth="1"/>
    <col min="13" max="14" width="12.33203125" bestFit="1" customWidth="1"/>
    <col min="15" max="15" width="6.109375" bestFit="1" customWidth="1"/>
    <col min="16" max="16" width="12.33203125" bestFit="1" customWidth="1"/>
    <col min="18" max="18" width="12.33203125" bestFit="1" customWidth="1"/>
  </cols>
  <sheetData>
    <row r="1" spans="1:18" x14ac:dyDescent="0.25">
      <c r="A1" s="13" t="s">
        <v>59</v>
      </c>
      <c r="B1" s="13"/>
      <c r="C1" s="13"/>
      <c r="D1" s="13"/>
      <c r="E1" s="13"/>
      <c r="F1" s="13"/>
      <c r="G1" s="13"/>
      <c r="L1" s="1" t="s">
        <v>60</v>
      </c>
      <c r="M1" s="1"/>
      <c r="N1" s="1"/>
      <c r="O1" s="1"/>
      <c r="P1" s="1"/>
      <c r="Q1" s="1"/>
      <c r="R1" s="1"/>
    </row>
    <row r="2" spans="1:18" x14ac:dyDescent="0.25">
      <c r="A2" t="s">
        <v>0</v>
      </c>
      <c r="B2" t="s">
        <v>7</v>
      </c>
      <c r="C2" t="s">
        <v>8</v>
      </c>
      <c r="D2" t="s">
        <v>9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67</v>
      </c>
      <c r="M2" t="s">
        <v>7</v>
      </c>
      <c r="N2" t="s">
        <v>8</v>
      </c>
      <c r="O2" t="s">
        <v>9</v>
      </c>
      <c r="P2" t="s">
        <v>61</v>
      </c>
    </row>
    <row r="3" spans="1:18" ht="15.6" x14ac:dyDescent="0.25">
      <c r="A3" s="2"/>
      <c r="B3" s="2" t="s">
        <v>1</v>
      </c>
      <c r="C3" s="3">
        <f>在此导入!C51</f>
        <v>8.1422830000000008</v>
      </c>
      <c r="D3" s="2">
        <v>717</v>
      </c>
      <c r="E3">
        <f>C3*D3/10000</f>
        <v>0.58380169110000002</v>
      </c>
      <c r="F3">
        <v>650</v>
      </c>
      <c r="G3">
        <f>D3*F3/10000</f>
        <v>46.604999999999997</v>
      </c>
      <c r="H3">
        <f>G3/10526.13</f>
        <v>4.4275531463130327E-3</v>
      </c>
      <c r="I3">
        <f>H3*($P$30-$E$47)</f>
        <v>0.25926855105034063</v>
      </c>
      <c r="J3">
        <f>E3+I3</f>
        <v>0.84307024215034065</v>
      </c>
      <c r="L3" t="s">
        <v>10</v>
      </c>
      <c r="M3" s="2" t="s">
        <v>12</v>
      </c>
      <c r="N3" s="3">
        <f>C9</f>
        <v>60.689845463273379</v>
      </c>
      <c r="O3" s="2">
        <v>40</v>
      </c>
      <c r="P3">
        <f t="shared" ref="P3:P29" si="0">N3*O3/10000</f>
        <v>0.24275938185309351</v>
      </c>
    </row>
    <row r="4" spans="1:18" ht="15.6" x14ac:dyDescent="0.25">
      <c r="A4" s="2"/>
      <c r="B4" s="2" t="s">
        <v>2</v>
      </c>
      <c r="C4" s="3">
        <f>在此导入!C52</f>
        <v>6.1421559999999999</v>
      </c>
      <c r="D4" s="2">
        <v>717</v>
      </c>
      <c r="E4">
        <f t="shared" ref="E4:E42" si="1">C4*D4/10000</f>
        <v>0.44039258520000002</v>
      </c>
      <c r="F4">
        <v>650</v>
      </c>
      <c r="G4">
        <f>D4*F4/10000</f>
        <v>46.604999999999997</v>
      </c>
      <c r="H4">
        <f t="shared" ref="H4:H47" si="2">G4/10526.13</f>
        <v>4.4275531463130327E-3</v>
      </c>
      <c r="I4">
        <f t="shared" ref="I4:I46" si="3">H4*($P$30-$E$47)</f>
        <v>0.25926855105034063</v>
      </c>
      <c r="J4">
        <f t="shared" ref="J4:J46" si="4">E4+I4</f>
        <v>0.69966113625034065</v>
      </c>
      <c r="M4" s="2" t="s">
        <v>13</v>
      </c>
      <c r="N4" s="3">
        <f>C10</f>
        <v>61.049845463273378</v>
      </c>
      <c r="O4" s="2">
        <v>40</v>
      </c>
      <c r="P4">
        <f t="shared" si="0"/>
        <v>0.24419938185309351</v>
      </c>
    </row>
    <row r="5" spans="1:18" ht="15.6" x14ac:dyDescent="0.25">
      <c r="A5" s="2"/>
      <c r="B5" s="2" t="s">
        <v>3</v>
      </c>
      <c r="C5" s="3">
        <f>在此导入!C53</f>
        <v>6.1421559999999999</v>
      </c>
      <c r="D5" s="2">
        <v>717</v>
      </c>
      <c r="E5">
        <f t="shared" si="1"/>
        <v>0.44039258520000002</v>
      </c>
      <c r="F5">
        <v>650</v>
      </c>
      <c r="G5">
        <f t="shared" ref="G5:G46" si="5">D5*F5/10000</f>
        <v>46.604999999999997</v>
      </c>
      <c r="H5">
        <f t="shared" si="2"/>
        <v>4.4275531463130327E-3</v>
      </c>
      <c r="I5">
        <f t="shared" si="3"/>
        <v>0.25926855105034063</v>
      </c>
      <c r="J5">
        <f t="shared" si="4"/>
        <v>0.69966113625034065</v>
      </c>
      <c r="L5" t="s">
        <v>41</v>
      </c>
      <c r="M5" s="2" t="s">
        <v>32</v>
      </c>
      <c r="N5" s="3">
        <f>C28</f>
        <v>61.120420869885585</v>
      </c>
      <c r="O5" s="2">
        <v>488</v>
      </c>
      <c r="P5">
        <f t="shared" si="0"/>
        <v>2.9826765384504164</v>
      </c>
    </row>
    <row r="6" spans="1:18" ht="15.6" x14ac:dyDescent="0.25">
      <c r="A6" s="2"/>
      <c r="B6" s="2" t="s">
        <v>4</v>
      </c>
      <c r="C6" s="3">
        <f>在此导入!C54</f>
        <v>4.954034</v>
      </c>
      <c r="D6" s="2">
        <v>717</v>
      </c>
      <c r="E6">
        <f t="shared" si="1"/>
        <v>0.35520423779999999</v>
      </c>
      <c r="F6">
        <v>650</v>
      </c>
      <c r="G6">
        <f t="shared" si="5"/>
        <v>46.604999999999997</v>
      </c>
      <c r="H6">
        <f t="shared" si="2"/>
        <v>4.4275531463130327E-3</v>
      </c>
      <c r="I6">
        <f t="shared" si="3"/>
        <v>0.25926855105034063</v>
      </c>
      <c r="J6">
        <f t="shared" si="4"/>
        <v>0.61447278885034062</v>
      </c>
      <c r="L6" t="s">
        <v>14</v>
      </c>
      <c r="M6" s="2" t="s">
        <v>15</v>
      </c>
      <c r="N6" s="3">
        <f t="shared" ref="N6:N23" si="6">C29</f>
        <v>74.234874908310942</v>
      </c>
      <c r="O6" s="2">
        <v>468</v>
      </c>
      <c r="P6">
        <f t="shared" si="0"/>
        <v>3.474192145708952</v>
      </c>
    </row>
    <row r="7" spans="1:18" ht="15.6" x14ac:dyDescent="0.25">
      <c r="A7" s="2"/>
      <c r="B7" s="2" t="s">
        <v>5</v>
      </c>
      <c r="C7" s="3">
        <f>在此导入!C55</f>
        <v>4.954034</v>
      </c>
      <c r="D7" s="2">
        <v>717</v>
      </c>
      <c r="E7">
        <f t="shared" si="1"/>
        <v>0.35520423779999999</v>
      </c>
      <c r="F7">
        <v>650</v>
      </c>
      <c r="G7">
        <f t="shared" si="5"/>
        <v>46.604999999999997</v>
      </c>
      <c r="H7">
        <f t="shared" si="2"/>
        <v>4.4275531463130327E-3</v>
      </c>
      <c r="I7">
        <f t="shared" si="3"/>
        <v>0.25926855105034063</v>
      </c>
      <c r="J7">
        <f t="shared" si="4"/>
        <v>0.61447278885034062</v>
      </c>
      <c r="M7" s="2" t="s">
        <v>16</v>
      </c>
      <c r="N7" s="3">
        <f t="shared" si="6"/>
        <v>66.228898834820782</v>
      </c>
      <c r="O7" s="2">
        <v>468</v>
      </c>
      <c r="P7">
        <f t="shared" si="0"/>
        <v>3.0995124654696125</v>
      </c>
    </row>
    <row r="8" spans="1:18" ht="15.6" x14ac:dyDescent="0.25">
      <c r="A8" s="2"/>
      <c r="B8" s="2" t="s">
        <v>6</v>
      </c>
      <c r="C8" s="3">
        <f>在此导入!C56</f>
        <v>3.3564799999999999</v>
      </c>
      <c r="D8" s="2">
        <v>717</v>
      </c>
      <c r="E8">
        <f t="shared" si="1"/>
        <v>0.24065961599999999</v>
      </c>
      <c r="F8">
        <v>650</v>
      </c>
      <c r="G8">
        <f t="shared" si="5"/>
        <v>46.604999999999997</v>
      </c>
      <c r="H8">
        <f t="shared" si="2"/>
        <v>4.4275531463130327E-3</v>
      </c>
      <c r="I8">
        <f t="shared" si="3"/>
        <v>0.25926855105034063</v>
      </c>
      <c r="J8">
        <f t="shared" si="4"/>
        <v>0.4999281670503406</v>
      </c>
      <c r="M8" s="2" t="s">
        <v>17</v>
      </c>
      <c r="N8" s="3">
        <f t="shared" si="6"/>
        <v>84.97047325811323</v>
      </c>
      <c r="O8" s="2">
        <v>468</v>
      </c>
      <c r="P8">
        <f t="shared" si="0"/>
        <v>3.9766181484796994</v>
      </c>
    </row>
    <row r="9" spans="1:18" ht="15.6" x14ac:dyDescent="0.25">
      <c r="A9" t="s">
        <v>10</v>
      </c>
      <c r="B9" s="2" t="s">
        <v>12</v>
      </c>
      <c r="C9" s="3">
        <f>在此导入!C27</f>
        <v>60.689845463273379</v>
      </c>
      <c r="D9" s="2">
        <v>4</v>
      </c>
      <c r="E9">
        <f t="shared" si="1"/>
        <v>2.4275938185309352E-2</v>
      </c>
      <c r="F9">
        <v>0</v>
      </c>
      <c r="G9">
        <f t="shared" si="5"/>
        <v>0</v>
      </c>
      <c r="H9">
        <f t="shared" si="2"/>
        <v>0</v>
      </c>
      <c r="I9">
        <f t="shared" si="3"/>
        <v>0</v>
      </c>
      <c r="J9">
        <f t="shared" si="4"/>
        <v>2.4275938185309352E-2</v>
      </c>
      <c r="M9" s="2" t="s">
        <v>18</v>
      </c>
      <c r="N9" s="3">
        <f t="shared" si="6"/>
        <v>95.513344810440202</v>
      </c>
      <c r="O9" s="2">
        <v>468</v>
      </c>
      <c r="P9">
        <f t="shared" si="0"/>
        <v>4.4700245371286016</v>
      </c>
    </row>
    <row r="10" spans="1:18" ht="15.6" x14ac:dyDescent="0.25">
      <c r="B10" s="2" t="s">
        <v>13</v>
      </c>
      <c r="C10" s="3">
        <f>在此导入!C19</f>
        <v>61.049845463273378</v>
      </c>
      <c r="D10" s="2">
        <v>4</v>
      </c>
      <c r="E10">
        <f t="shared" si="1"/>
        <v>2.441993818530935E-2</v>
      </c>
      <c r="F10">
        <v>0</v>
      </c>
      <c r="G10">
        <f t="shared" si="5"/>
        <v>0</v>
      </c>
      <c r="H10">
        <f t="shared" si="2"/>
        <v>0</v>
      </c>
      <c r="I10">
        <f t="shared" si="3"/>
        <v>0</v>
      </c>
      <c r="J10">
        <f t="shared" si="4"/>
        <v>2.441993818530935E-2</v>
      </c>
      <c r="M10" s="2" t="s">
        <v>19</v>
      </c>
      <c r="N10" s="3">
        <f t="shared" si="6"/>
        <v>87.081845698928745</v>
      </c>
      <c r="O10" s="2">
        <v>468</v>
      </c>
      <c r="P10">
        <f t="shared" si="0"/>
        <v>4.0754303787098651</v>
      </c>
    </row>
    <row r="11" spans="1:18" ht="15.6" x14ac:dyDescent="0.25">
      <c r="A11" t="s">
        <v>66</v>
      </c>
      <c r="B11" s="4" t="s">
        <v>42</v>
      </c>
      <c r="C11" s="3">
        <f>在此导入!C30</f>
        <v>31.876479670612458</v>
      </c>
      <c r="D11" s="2">
        <v>290</v>
      </c>
      <c r="E11">
        <f t="shared" si="1"/>
        <v>0.92441791044776123</v>
      </c>
      <c r="F11">
        <v>500</v>
      </c>
      <c r="G11">
        <f t="shared" si="5"/>
        <v>14.5</v>
      </c>
      <c r="H11">
        <f t="shared" si="2"/>
        <v>1.37752431330413E-3</v>
      </c>
      <c r="I11">
        <f t="shared" si="3"/>
        <v>8.0665035730714291E-2</v>
      </c>
      <c r="J11">
        <f t="shared" si="4"/>
        <v>1.0050829461784756</v>
      </c>
      <c r="M11" s="2" t="s">
        <v>20</v>
      </c>
      <c r="N11" s="3">
        <f t="shared" si="6"/>
        <v>65.802332803579134</v>
      </c>
      <c r="O11" s="2">
        <v>468</v>
      </c>
      <c r="P11">
        <f t="shared" si="0"/>
        <v>3.0795491752075037</v>
      </c>
    </row>
    <row r="12" spans="1:18" ht="15.6" x14ac:dyDescent="0.25">
      <c r="B12" s="4" t="s">
        <v>43</v>
      </c>
      <c r="C12" s="3">
        <f>在此导入!C31</f>
        <v>26.457069628363946</v>
      </c>
      <c r="D12" s="2">
        <v>290</v>
      </c>
      <c r="E12">
        <f t="shared" si="1"/>
        <v>0.76725501922255446</v>
      </c>
      <c r="F12">
        <v>500</v>
      </c>
      <c r="G12">
        <f t="shared" si="5"/>
        <v>14.5</v>
      </c>
      <c r="H12">
        <f t="shared" si="2"/>
        <v>1.37752431330413E-3</v>
      </c>
      <c r="I12">
        <f t="shared" si="3"/>
        <v>8.0665035730714291E-2</v>
      </c>
      <c r="J12">
        <f t="shared" si="4"/>
        <v>0.84792005495326872</v>
      </c>
      <c r="M12" s="2" t="s">
        <v>21</v>
      </c>
      <c r="N12" s="3">
        <f t="shared" si="6"/>
        <v>63.342877118062837</v>
      </c>
      <c r="O12" s="2">
        <v>468</v>
      </c>
      <c r="P12">
        <f t="shared" si="0"/>
        <v>2.9644466491253407</v>
      </c>
    </row>
    <row r="13" spans="1:18" ht="15.6" x14ac:dyDescent="0.25">
      <c r="B13" s="4" t="s">
        <v>44</v>
      </c>
      <c r="C13" s="3">
        <f>在此导入!C32</f>
        <v>29.772151898734176</v>
      </c>
      <c r="D13" s="2">
        <v>290</v>
      </c>
      <c r="E13">
        <f t="shared" si="1"/>
        <v>0.86339240506329118</v>
      </c>
      <c r="F13">
        <v>500</v>
      </c>
      <c r="G13">
        <f t="shared" si="5"/>
        <v>14.5</v>
      </c>
      <c r="H13">
        <f t="shared" si="2"/>
        <v>1.37752431330413E-3</v>
      </c>
      <c r="I13">
        <f t="shared" si="3"/>
        <v>8.0665035730714291E-2</v>
      </c>
      <c r="J13">
        <f t="shared" si="4"/>
        <v>0.94405744079400544</v>
      </c>
      <c r="M13" s="2" t="s">
        <v>22</v>
      </c>
      <c r="N13" s="3">
        <f t="shared" si="6"/>
        <v>55.702368708324087</v>
      </c>
      <c r="O13" s="2">
        <v>468</v>
      </c>
      <c r="P13">
        <f t="shared" si="0"/>
        <v>2.606870855549567</v>
      </c>
    </row>
    <row r="14" spans="1:18" ht="15.6" x14ac:dyDescent="0.25">
      <c r="B14" s="4" t="s">
        <v>45</v>
      </c>
      <c r="C14" s="3">
        <f>在此导入!C33</f>
        <v>26.544</v>
      </c>
      <c r="D14" s="2">
        <v>290</v>
      </c>
      <c r="E14">
        <f t="shared" si="1"/>
        <v>0.76977600000000002</v>
      </c>
      <c r="F14">
        <v>500</v>
      </c>
      <c r="G14">
        <f t="shared" si="5"/>
        <v>14.5</v>
      </c>
      <c r="H14">
        <f t="shared" si="2"/>
        <v>1.37752431330413E-3</v>
      </c>
      <c r="I14">
        <f t="shared" si="3"/>
        <v>8.0665035730714291E-2</v>
      </c>
      <c r="J14">
        <f t="shared" si="4"/>
        <v>0.85044103573071428</v>
      </c>
      <c r="M14" s="2" t="s">
        <v>23</v>
      </c>
      <c r="N14" s="3">
        <f t="shared" si="6"/>
        <v>55.044824956501351</v>
      </c>
      <c r="O14" s="2">
        <v>468</v>
      </c>
      <c r="P14">
        <f t="shared" si="0"/>
        <v>2.5760978079642629</v>
      </c>
    </row>
    <row r="15" spans="1:18" ht="15.6" x14ac:dyDescent="0.25">
      <c r="B15" s="4" t="s">
        <v>46</v>
      </c>
      <c r="C15" s="3">
        <f>在此导入!C34</f>
        <v>31.871012006861065</v>
      </c>
      <c r="D15" s="2">
        <v>290</v>
      </c>
      <c r="E15">
        <f t="shared" si="1"/>
        <v>0.92425934819897082</v>
      </c>
      <c r="F15">
        <v>500</v>
      </c>
      <c r="G15">
        <f t="shared" si="5"/>
        <v>14.5</v>
      </c>
      <c r="H15">
        <f t="shared" si="2"/>
        <v>1.37752431330413E-3</v>
      </c>
      <c r="I15">
        <f t="shared" si="3"/>
        <v>8.0665035730714291E-2</v>
      </c>
      <c r="J15">
        <f t="shared" si="4"/>
        <v>1.0049243839296851</v>
      </c>
      <c r="M15" s="2" t="s">
        <v>24</v>
      </c>
      <c r="N15" s="3">
        <f t="shared" si="6"/>
        <v>79.782119513975772</v>
      </c>
      <c r="O15" s="2">
        <v>468</v>
      </c>
      <c r="P15">
        <f t="shared" si="0"/>
        <v>3.7338031932540661</v>
      </c>
    </row>
    <row r="16" spans="1:18" ht="15.6" x14ac:dyDescent="0.25">
      <c r="B16" s="4" t="s">
        <v>47</v>
      </c>
      <c r="C16" s="3">
        <f>在此导入!C36</f>
        <v>28.678499768482791</v>
      </c>
      <c r="D16" s="2">
        <v>290</v>
      </c>
      <c r="E16">
        <f t="shared" si="1"/>
        <v>0.83167649328600091</v>
      </c>
      <c r="F16">
        <v>500</v>
      </c>
      <c r="G16">
        <f t="shared" si="5"/>
        <v>14.5</v>
      </c>
      <c r="H16">
        <f t="shared" si="2"/>
        <v>1.37752431330413E-3</v>
      </c>
      <c r="I16">
        <f t="shared" si="3"/>
        <v>8.0665035730714291E-2</v>
      </c>
      <c r="J16">
        <f t="shared" si="4"/>
        <v>0.91234152901671517</v>
      </c>
      <c r="M16" s="2" t="s">
        <v>25</v>
      </c>
      <c r="N16" s="3">
        <f t="shared" si="6"/>
        <v>76.005607634756529</v>
      </c>
      <c r="O16" s="2">
        <v>468</v>
      </c>
      <c r="P16">
        <f t="shared" si="0"/>
        <v>3.5570624373066058</v>
      </c>
    </row>
    <row r="17" spans="1:18" ht="15.6" x14ac:dyDescent="0.25">
      <c r="B17" s="4" t="s">
        <v>48</v>
      </c>
      <c r="C17" s="3">
        <f>在此导入!C37</f>
        <v>29.743556907315511</v>
      </c>
      <c r="D17" s="2">
        <v>290</v>
      </c>
      <c r="E17">
        <f t="shared" si="1"/>
        <v>0.86256315031214981</v>
      </c>
      <c r="F17">
        <v>500</v>
      </c>
      <c r="G17">
        <f t="shared" si="5"/>
        <v>14.5</v>
      </c>
      <c r="H17">
        <f t="shared" si="2"/>
        <v>1.37752431330413E-3</v>
      </c>
      <c r="I17">
        <f t="shared" si="3"/>
        <v>8.0665035730714291E-2</v>
      </c>
      <c r="J17">
        <f t="shared" si="4"/>
        <v>0.94322818604286407</v>
      </c>
      <c r="M17" s="2" t="s">
        <v>26</v>
      </c>
      <c r="N17" s="3">
        <f t="shared" si="6"/>
        <v>53.480203712320225</v>
      </c>
      <c r="O17" s="2">
        <v>468</v>
      </c>
      <c r="P17">
        <f t="shared" si="0"/>
        <v>2.5028735337365866</v>
      </c>
    </row>
    <row r="18" spans="1:18" ht="15.6" x14ac:dyDescent="0.25">
      <c r="B18" s="4" t="s">
        <v>49</v>
      </c>
      <c r="C18" s="3">
        <f>在此导入!C39</f>
        <v>26.453302961275625</v>
      </c>
      <c r="D18" s="2">
        <v>290</v>
      </c>
      <c r="E18">
        <f t="shared" si="1"/>
        <v>0.76714578587699311</v>
      </c>
      <c r="F18">
        <v>500</v>
      </c>
      <c r="G18">
        <f t="shared" si="5"/>
        <v>14.5</v>
      </c>
      <c r="H18">
        <f t="shared" si="2"/>
        <v>1.37752431330413E-3</v>
      </c>
      <c r="I18">
        <f t="shared" si="3"/>
        <v>8.0665035730714291E-2</v>
      </c>
      <c r="J18">
        <f t="shared" si="4"/>
        <v>0.84781082160770738</v>
      </c>
      <c r="M18" s="2" t="s">
        <v>27</v>
      </c>
      <c r="N18" s="3">
        <f t="shared" si="6"/>
        <v>74.158288123613147</v>
      </c>
      <c r="O18" s="2">
        <v>468</v>
      </c>
      <c r="P18">
        <f t="shared" si="0"/>
        <v>3.4706078841850956</v>
      </c>
    </row>
    <row r="19" spans="1:18" ht="15.6" x14ac:dyDescent="0.25">
      <c r="B19" s="4" t="s">
        <v>50</v>
      </c>
      <c r="C19" s="3">
        <f>在此导入!C40</f>
        <v>24.4570696283639</v>
      </c>
      <c r="D19" s="2">
        <v>290</v>
      </c>
      <c r="E19">
        <f t="shared" si="1"/>
        <v>0.70925501922255307</v>
      </c>
      <c r="F19">
        <v>500</v>
      </c>
      <c r="G19">
        <f t="shared" si="5"/>
        <v>14.5</v>
      </c>
      <c r="H19">
        <f t="shared" si="2"/>
        <v>1.37752431330413E-3</v>
      </c>
      <c r="I19">
        <f t="shared" si="3"/>
        <v>8.0665035730714291E-2</v>
      </c>
      <c r="J19">
        <f t="shared" si="4"/>
        <v>0.78992005495326734</v>
      </c>
      <c r="M19" s="2" t="s">
        <v>28</v>
      </c>
      <c r="N19" s="3">
        <f t="shared" si="6"/>
        <v>49.683406352769509</v>
      </c>
      <c r="O19" s="2">
        <v>468</v>
      </c>
      <c r="P19">
        <f t="shared" si="0"/>
        <v>2.3251834173096131</v>
      </c>
    </row>
    <row r="20" spans="1:18" ht="15.6" x14ac:dyDescent="0.25">
      <c r="B20" s="4" t="s">
        <v>51</v>
      </c>
      <c r="C20" s="3">
        <f>在此导入!C41</f>
        <v>26.464606181455636</v>
      </c>
      <c r="D20" s="2">
        <v>290</v>
      </c>
      <c r="E20">
        <f t="shared" si="1"/>
        <v>0.76747357926221349</v>
      </c>
      <c r="F20">
        <v>500</v>
      </c>
      <c r="G20">
        <f t="shared" si="5"/>
        <v>14.5</v>
      </c>
      <c r="H20">
        <f t="shared" si="2"/>
        <v>1.37752431330413E-3</v>
      </c>
      <c r="I20">
        <f t="shared" si="3"/>
        <v>8.0665035730714291E-2</v>
      </c>
      <c r="J20">
        <f t="shared" si="4"/>
        <v>0.84813861499292775</v>
      </c>
      <c r="M20" s="2" t="s">
        <v>29</v>
      </c>
      <c r="N20" s="3">
        <f t="shared" si="6"/>
        <v>72.109488698105679</v>
      </c>
      <c r="O20" s="2">
        <v>468</v>
      </c>
      <c r="P20">
        <f t="shared" si="0"/>
        <v>3.3747240710713458</v>
      </c>
    </row>
    <row r="21" spans="1:18" ht="15.6" x14ac:dyDescent="0.25">
      <c r="B21" s="4" t="s">
        <v>52</v>
      </c>
      <c r="C21" s="3">
        <f>在此导入!C43</f>
        <v>23.870503597122301</v>
      </c>
      <c r="D21" s="2">
        <v>290</v>
      </c>
      <c r="E21">
        <f t="shared" si="1"/>
        <v>0.69224460431654666</v>
      </c>
      <c r="F21">
        <v>500</v>
      </c>
      <c r="G21">
        <f t="shared" si="5"/>
        <v>14.5</v>
      </c>
      <c r="H21">
        <f t="shared" si="2"/>
        <v>1.37752431330413E-3</v>
      </c>
      <c r="I21">
        <f t="shared" si="3"/>
        <v>8.0665035730714291E-2</v>
      </c>
      <c r="J21">
        <f t="shared" si="4"/>
        <v>0.77290964004726093</v>
      </c>
      <c r="M21" s="2" t="s">
        <v>30</v>
      </c>
      <c r="N21" s="3">
        <f t="shared" si="6"/>
        <v>62.52535100527259</v>
      </c>
      <c r="O21" s="2">
        <v>468</v>
      </c>
      <c r="P21">
        <f t="shared" si="0"/>
        <v>2.9261864270467575</v>
      </c>
    </row>
    <row r="22" spans="1:18" ht="15.6" x14ac:dyDescent="0.25">
      <c r="B22" s="4" t="s">
        <v>53</v>
      </c>
      <c r="C22" s="3">
        <f>在此导入!C44</f>
        <v>23.870503597122301</v>
      </c>
      <c r="D22" s="2">
        <v>290</v>
      </c>
      <c r="E22">
        <f t="shared" si="1"/>
        <v>0.69224460431654666</v>
      </c>
      <c r="F22">
        <v>500</v>
      </c>
      <c r="G22">
        <f t="shared" si="5"/>
        <v>14.5</v>
      </c>
      <c r="H22">
        <f t="shared" si="2"/>
        <v>1.37752431330413E-3</v>
      </c>
      <c r="I22">
        <f t="shared" si="3"/>
        <v>8.0665035730714291E-2</v>
      </c>
      <c r="J22">
        <f t="shared" si="4"/>
        <v>0.77290964004726093</v>
      </c>
      <c r="M22" s="2" t="s">
        <v>31</v>
      </c>
      <c r="N22" s="3">
        <f t="shared" si="6"/>
        <v>22.021325609334536</v>
      </c>
      <c r="O22" s="2">
        <v>468</v>
      </c>
      <c r="P22">
        <f t="shared" si="0"/>
        <v>1.0305980385168563</v>
      </c>
    </row>
    <row r="23" spans="1:18" ht="15.6" x14ac:dyDescent="0.25">
      <c r="B23" s="4" t="s">
        <v>54</v>
      </c>
      <c r="C23" s="3">
        <f>在此导入!C46</f>
        <v>22.305882352941179</v>
      </c>
      <c r="D23" s="2">
        <v>290</v>
      </c>
      <c r="E23">
        <f t="shared" si="1"/>
        <v>0.6468705882352942</v>
      </c>
      <c r="F23">
        <v>500</v>
      </c>
      <c r="G23">
        <f t="shared" si="5"/>
        <v>14.5</v>
      </c>
      <c r="H23">
        <f t="shared" si="2"/>
        <v>1.37752431330413E-3</v>
      </c>
      <c r="I23">
        <f t="shared" si="3"/>
        <v>8.0665035730714291E-2</v>
      </c>
      <c r="J23">
        <f t="shared" si="4"/>
        <v>0.72753562396600846</v>
      </c>
      <c r="M23" s="2" t="s">
        <v>33</v>
      </c>
      <c r="N23" s="3">
        <f t="shared" si="6"/>
        <v>20.581325609334531</v>
      </c>
      <c r="O23" s="2">
        <v>468</v>
      </c>
      <c r="P23">
        <f t="shared" si="0"/>
        <v>0.96320603851685604</v>
      </c>
    </row>
    <row r="24" spans="1:18" ht="15.6" x14ac:dyDescent="0.25">
      <c r="B24" s="4" t="s">
        <v>11</v>
      </c>
      <c r="C24" s="3">
        <f>在此导入!C47</f>
        <v>19.118016256816546</v>
      </c>
      <c r="D24" s="2">
        <v>290</v>
      </c>
      <c r="E24">
        <f t="shared" si="1"/>
        <v>0.55442247144767975</v>
      </c>
      <c r="F24">
        <v>500</v>
      </c>
      <c r="G24">
        <f t="shared" si="5"/>
        <v>14.5</v>
      </c>
      <c r="H24">
        <f t="shared" si="2"/>
        <v>1.37752431330413E-3</v>
      </c>
      <c r="I24">
        <f t="shared" si="3"/>
        <v>8.0665035730714291E-2</v>
      </c>
      <c r="J24">
        <f t="shared" si="4"/>
        <v>0.63508750717839402</v>
      </c>
      <c r="L24" t="s">
        <v>34</v>
      </c>
      <c r="M24" s="2" t="s">
        <v>35</v>
      </c>
      <c r="N24" s="3">
        <f>在此导入!C3</f>
        <v>243.31303122934833</v>
      </c>
      <c r="O24" s="2">
        <v>168</v>
      </c>
      <c r="P24">
        <f t="shared" si="0"/>
        <v>4.0876589246530521</v>
      </c>
    </row>
    <row r="25" spans="1:18" ht="15.6" x14ac:dyDescent="0.25">
      <c r="B25" s="4" t="s">
        <v>55</v>
      </c>
      <c r="C25" s="3">
        <f>在此导入!C48</f>
        <v>19.118016256816546</v>
      </c>
      <c r="D25" s="2">
        <v>290</v>
      </c>
      <c r="E25">
        <f t="shared" si="1"/>
        <v>0.55442247144767975</v>
      </c>
      <c r="F25">
        <v>500</v>
      </c>
      <c r="G25">
        <f t="shared" si="5"/>
        <v>14.5</v>
      </c>
      <c r="H25">
        <f t="shared" si="2"/>
        <v>1.37752431330413E-3</v>
      </c>
      <c r="I25">
        <f t="shared" si="3"/>
        <v>8.0665035730714291E-2</v>
      </c>
      <c r="J25">
        <f t="shared" si="4"/>
        <v>0.63508750717839402</v>
      </c>
      <c r="M25" s="2" t="s">
        <v>36</v>
      </c>
      <c r="N25" s="3">
        <f>在此导入!C4</f>
        <v>258.88598916982784</v>
      </c>
      <c r="O25" s="2">
        <v>168</v>
      </c>
      <c r="P25">
        <f t="shared" si="0"/>
        <v>4.3492846180531082</v>
      </c>
    </row>
    <row r="26" spans="1:18" ht="15.6" x14ac:dyDescent="0.25">
      <c r="B26" s="4" t="s">
        <v>56</v>
      </c>
      <c r="C26" s="3">
        <f>在此导入!C49</f>
        <v>23.666794038975926</v>
      </c>
      <c r="D26" s="2">
        <v>290</v>
      </c>
      <c r="E26">
        <f t="shared" si="1"/>
        <v>0.68633702713030187</v>
      </c>
      <c r="F26">
        <v>500</v>
      </c>
      <c r="G26">
        <f t="shared" si="5"/>
        <v>14.5</v>
      </c>
      <c r="H26">
        <f t="shared" si="2"/>
        <v>1.37752431330413E-3</v>
      </c>
      <c r="I26">
        <f t="shared" si="3"/>
        <v>8.0665035730714291E-2</v>
      </c>
      <c r="J26">
        <f t="shared" si="4"/>
        <v>0.76700206286101613</v>
      </c>
      <c r="M26" s="2" t="s">
        <v>37</v>
      </c>
      <c r="N26" s="3">
        <f>在此导入!C5</f>
        <v>211.2126163556313</v>
      </c>
      <c r="O26" s="2">
        <v>168</v>
      </c>
      <c r="P26">
        <f t="shared" si="0"/>
        <v>3.5483719547746055</v>
      </c>
    </row>
    <row r="27" spans="1:18" ht="15.6" x14ac:dyDescent="0.25">
      <c r="B27" s="4" t="s">
        <v>57</v>
      </c>
      <c r="C27" s="3">
        <f>在此导入!C50</f>
        <v>16.084277879341901</v>
      </c>
      <c r="D27" s="2">
        <v>290</v>
      </c>
      <c r="E27">
        <f t="shared" si="1"/>
        <v>0.46644405850091514</v>
      </c>
      <c r="F27">
        <v>500</v>
      </c>
      <c r="G27">
        <f t="shared" si="5"/>
        <v>14.5</v>
      </c>
      <c r="H27">
        <f t="shared" si="2"/>
        <v>1.37752431330413E-3</v>
      </c>
      <c r="I27">
        <f t="shared" si="3"/>
        <v>8.0665035730714291E-2</v>
      </c>
      <c r="J27">
        <f t="shared" si="4"/>
        <v>0.54710909423162946</v>
      </c>
      <c r="M27" s="2" t="s">
        <v>38</v>
      </c>
      <c r="N27" s="3">
        <f>在此导入!C6</f>
        <v>121.54503714588637</v>
      </c>
      <c r="O27" s="2">
        <v>168</v>
      </c>
      <c r="P27">
        <f t="shared" si="0"/>
        <v>2.0419566240508908</v>
      </c>
    </row>
    <row r="28" spans="1:18" ht="15.6" x14ac:dyDescent="0.25">
      <c r="A28" t="s">
        <v>14</v>
      </c>
      <c r="B28" s="2" t="s">
        <v>32</v>
      </c>
      <c r="C28" s="3">
        <f>在此导入!C28</f>
        <v>61.120420869885585</v>
      </c>
      <c r="D28" s="2">
        <v>40</v>
      </c>
      <c r="E28">
        <f t="shared" si="1"/>
        <v>0.24448168347954233</v>
      </c>
      <c r="F28">
        <v>0</v>
      </c>
      <c r="G28">
        <f t="shared" si="5"/>
        <v>0</v>
      </c>
      <c r="H28">
        <f t="shared" si="2"/>
        <v>0</v>
      </c>
      <c r="I28">
        <f t="shared" si="3"/>
        <v>0</v>
      </c>
      <c r="J28">
        <f t="shared" si="4"/>
        <v>0.24448168347954233</v>
      </c>
      <c r="M28" s="2" t="s">
        <v>39</v>
      </c>
      <c r="N28" s="3">
        <f>在此导入!C7</f>
        <v>93.282046208458283</v>
      </c>
      <c r="O28" s="2">
        <v>168</v>
      </c>
      <c r="P28">
        <f t="shared" si="0"/>
        <v>1.5671383763020992</v>
      </c>
    </row>
    <row r="29" spans="1:18" ht="15.6" x14ac:dyDescent="0.25">
      <c r="B29" s="2" t="s">
        <v>15</v>
      </c>
      <c r="C29" s="3">
        <f>在此导入!C9</f>
        <v>74.234874908310942</v>
      </c>
      <c r="D29" s="2">
        <v>40</v>
      </c>
      <c r="E29">
        <f t="shared" si="1"/>
        <v>0.29693949963324373</v>
      </c>
      <c r="F29">
        <v>0</v>
      </c>
      <c r="G29">
        <f t="shared" si="5"/>
        <v>0</v>
      </c>
      <c r="H29">
        <f t="shared" si="2"/>
        <v>0</v>
      </c>
      <c r="I29">
        <f t="shared" si="3"/>
        <v>0</v>
      </c>
      <c r="J29">
        <f t="shared" si="4"/>
        <v>0.29693949963324373</v>
      </c>
      <c r="M29" s="2" t="s">
        <v>40</v>
      </c>
      <c r="N29" s="3">
        <f>在此导入!C8</f>
        <v>304.11023290125274</v>
      </c>
      <c r="O29" s="2">
        <v>168</v>
      </c>
      <c r="P29">
        <f t="shared" si="0"/>
        <v>5.1090519127410454</v>
      </c>
    </row>
    <row r="30" spans="1:18" ht="15.6" x14ac:dyDescent="0.25">
      <c r="B30" s="2" t="s">
        <v>16</v>
      </c>
      <c r="C30" s="3">
        <f>在此导入!C10</f>
        <v>66.228898834820782</v>
      </c>
      <c r="D30" s="2">
        <v>40</v>
      </c>
      <c r="E30">
        <f t="shared" si="1"/>
        <v>0.26491559533928311</v>
      </c>
      <c r="F30">
        <v>0</v>
      </c>
      <c r="G30">
        <f t="shared" si="5"/>
        <v>0</v>
      </c>
      <c r="H30">
        <f t="shared" si="2"/>
        <v>0</v>
      </c>
      <c r="I30">
        <f t="shared" si="3"/>
        <v>0</v>
      </c>
      <c r="J30">
        <f t="shared" si="4"/>
        <v>0.26491559533928311</v>
      </c>
      <c r="L30" t="s">
        <v>58</v>
      </c>
      <c r="O30">
        <f>SUM(O3:O29)</f>
        <v>10000</v>
      </c>
      <c r="P30">
        <f>SUM(P3:P29)</f>
        <v>78.380084917018593</v>
      </c>
      <c r="R30">
        <f>P30/E47</f>
        <v>3.954174875983322</v>
      </c>
    </row>
    <row r="31" spans="1:18" ht="15.6" x14ac:dyDescent="0.25">
      <c r="B31" s="2" t="s">
        <v>17</v>
      </c>
      <c r="C31" s="3">
        <f>在此导入!C11</f>
        <v>84.97047325811323</v>
      </c>
      <c r="D31" s="2">
        <v>40</v>
      </c>
      <c r="E31">
        <f t="shared" si="1"/>
        <v>0.33988189303245292</v>
      </c>
      <c r="F31">
        <v>0</v>
      </c>
      <c r="G31">
        <f t="shared" si="5"/>
        <v>0</v>
      </c>
      <c r="H31">
        <f t="shared" si="2"/>
        <v>0</v>
      </c>
      <c r="I31">
        <f t="shared" si="3"/>
        <v>0</v>
      </c>
      <c r="J31">
        <f t="shared" si="4"/>
        <v>0.33988189303245292</v>
      </c>
    </row>
    <row r="32" spans="1:18" ht="15.6" x14ac:dyDescent="0.25">
      <c r="B32" s="2" t="s">
        <v>18</v>
      </c>
      <c r="C32" s="3">
        <f>在此导入!C12</f>
        <v>95.513344810440202</v>
      </c>
      <c r="D32" s="2">
        <v>40</v>
      </c>
      <c r="E32">
        <f t="shared" si="1"/>
        <v>0.3820533792417608</v>
      </c>
      <c r="F32">
        <v>0</v>
      </c>
      <c r="G32">
        <f t="shared" si="5"/>
        <v>0</v>
      </c>
      <c r="H32">
        <f t="shared" si="2"/>
        <v>0</v>
      </c>
      <c r="I32">
        <f t="shared" si="3"/>
        <v>0</v>
      </c>
      <c r="J32">
        <f t="shared" si="4"/>
        <v>0.3820533792417608</v>
      </c>
    </row>
    <row r="33" spans="1:10" ht="15.6" x14ac:dyDescent="0.25">
      <c r="B33" s="2" t="s">
        <v>19</v>
      </c>
      <c r="C33" s="3">
        <f>在此导入!C13</f>
        <v>87.081845698928745</v>
      </c>
      <c r="D33" s="2">
        <v>40</v>
      </c>
      <c r="E33">
        <f t="shared" si="1"/>
        <v>0.34832738279571501</v>
      </c>
      <c r="F33">
        <v>0</v>
      </c>
      <c r="G33">
        <f t="shared" si="5"/>
        <v>0</v>
      </c>
      <c r="H33">
        <f t="shared" si="2"/>
        <v>0</v>
      </c>
      <c r="I33">
        <f t="shared" si="3"/>
        <v>0</v>
      </c>
      <c r="J33">
        <f t="shared" si="4"/>
        <v>0.34832738279571501</v>
      </c>
    </row>
    <row r="34" spans="1:10" ht="15.6" x14ac:dyDescent="0.25">
      <c r="B34" s="2" t="s">
        <v>20</v>
      </c>
      <c r="C34" s="3">
        <f>在此导入!C14</f>
        <v>65.802332803579134</v>
      </c>
      <c r="D34" s="2">
        <v>40</v>
      </c>
      <c r="E34">
        <f t="shared" si="1"/>
        <v>0.26320933121431656</v>
      </c>
      <c r="F34">
        <v>0</v>
      </c>
      <c r="G34">
        <f t="shared" si="5"/>
        <v>0</v>
      </c>
      <c r="H34">
        <f t="shared" si="2"/>
        <v>0</v>
      </c>
      <c r="I34">
        <f t="shared" si="3"/>
        <v>0</v>
      </c>
      <c r="J34">
        <f t="shared" si="4"/>
        <v>0.26320933121431656</v>
      </c>
    </row>
    <row r="35" spans="1:10" ht="15.6" x14ac:dyDescent="0.25">
      <c r="B35" s="2" t="s">
        <v>21</v>
      </c>
      <c r="C35" s="3">
        <f>在此导入!C15</f>
        <v>63.342877118062837</v>
      </c>
      <c r="D35" s="2">
        <v>40</v>
      </c>
      <c r="E35">
        <f t="shared" si="1"/>
        <v>0.25337150847225132</v>
      </c>
      <c r="F35">
        <v>0</v>
      </c>
      <c r="G35">
        <f t="shared" si="5"/>
        <v>0</v>
      </c>
      <c r="H35">
        <f t="shared" si="2"/>
        <v>0</v>
      </c>
      <c r="I35">
        <f t="shared" si="3"/>
        <v>0</v>
      </c>
      <c r="J35">
        <f t="shared" si="4"/>
        <v>0.25337150847225132</v>
      </c>
    </row>
    <row r="36" spans="1:10" ht="15.6" x14ac:dyDescent="0.25">
      <c r="B36" s="2" t="s">
        <v>22</v>
      </c>
      <c r="C36" s="3">
        <f>在此导入!C16</f>
        <v>55.702368708324087</v>
      </c>
      <c r="D36" s="2">
        <v>40</v>
      </c>
      <c r="E36">
        <f t="shared" si="1"/>
        <v>0.22280947483329638</v>
      </c>
      <c r="F36">
        <v>0</v>
      </c>
      <c r="G36">
        <f t="shared" si="5"/>
        <v>0</v>
      </c>
      <c r="H36">
        <f t="shared" si="2"/>
        <v>0</v>
      </c>
      <c r="I36">
        <f t="shared" si="3"/>
        <v>0</v>
      </c>
      <c r="J36">
        <f t="shared" si="4"/>
        <v>0.22280947483329638</v>
      </c>
    </row>
    <row r="37" spans="1:10" ht="15.6" x14ac:dyDescent="0.25">
      <c r="B37" s="2" t="s">
        <v>23</v>
      </c>
      <c r="C37" s="3">
        <f>在此导入!C17</f>
        <v>55.044824956501351</v>
      </c>
      <c r="D37" s="2">
        <v>40</v>
      </c>
      <c r="E37">
        <f t="shared" si="1"/>
        <v>0.2201792998260054</v>
      </c>
      <c r="F37">
        <v>0</v>
      </c>
      <c r="G37">
        <f t="shared" si="5"/>
        <v>0</v>
      </c>
      <c r="H37">
        <f t="shared" si="2"/>
        <v>0</v>
      </c>
      <c r="I37">
        <f t="shared" si="3"/>
        <v>0</v>
      </c>
      <c r="J37">
        <f t="shared" si="4"/>
        <v>0.2201792998260054</v>
      </c>
    </row>
    <row r="38" spans="1:10" ht="15.6" x14ac:dyDescent="0.25">
      <c r="B38" s="2" t="s">
        <v>24</v>
      </c>
      <c r="C38" s="3">
        <f>在此导入!C18</f>
        <v>79.782119513975772</v>
      </c>
      <c r="D38" s="2">
        <v>40</v>
      </c>
      <c r="E38">
        <f t="shared" si="1"/>
        <v>0.31912847805590311</v>
      </c>
      <c r="F38">
        <v>0</v>
      </c>
      <c r="G38">
        <f t="shared" si="5"/>
        <v>0</v>
      </c>
      <c r="H38">
        <f t="shared" si="2"/>
        <v>0</v>
      </c>
      <c r="I38">
        <f t="shared" si="3"/>
        <v>0</v>
      </c>
      <c r="J38">
        <f t="shared" si="4"/>
        <v>0.31912847805590311</v>
      </c>
    </row>
    <row r="39" spans="1:10" ht="15.6" x14ac:dyDescent="0.25">
      <c r="B39" s="2" t="s">
        <v>25</v>
      </c>
      <c r="C39" s="3">
        <f>在此导入!C20</f>
        <v>76.005607634756529</v>
      </c>
      <c r="D39" s="2">
        <v>40</v>
      </c>
      <c r="E39">
        <f t="shared" si="1"/>
        <v>0.30402243053902611</v>
      </c>
      <c r="F39">
        <v>0</v>
      </c>
      <c r="G39">
        <f t="shared" si="5"/>
        <v>0</v>
      </c>
      <c r="H39">
        <f t="shared" si="2"/>
        <v>0</v>
      </c>
      <c r="I39">
        <f t="shared" si="3"/>
        <v>0</v>
      </c>
      <c r="J39">
        <f t="shared" si="4"/>
        <v>0.30402243053902611</v>
      </c>
    </row>
    <row r="40" spans="1:10" ht="15.6" x14ac:dyDescent="0.25">
      <c r="B40" s="2" t="s">
        <v>26</v>
      </c>
      <c r="C40" s="3">
        <f>在此导入!C21</f>
        <v>53.480203712320225</v>
      </c>
      <c r="D40" s="2">
        <v>40</v>
      </c>
      <c r="E40">
        <f t="shared" si="1"/>
        <v>0.21392081484928088</v>
      </c>
      <c r="F40">
        <v>0</v>
      </c>
      <c r="G40">
        <f t="shared" si="5"/>
        <v>0</v>
      </c>
      <c r="H40">
        <f t="shared" si="2"/>
        <v>0</v>
      </c>
      <c r="I40">
        <f t="shared" si="3"/>
        <v>0</v>
      </c>
      <c r="J40">
        <f t="shared" si="4"/>
        <v>0.21392081484928088</v>
      </c>
    </row>
    <row r="41" spans="1:10" ht="15.6" x14ac:dyDescent="0.25">
      <c r="B41" s="2" t="s">
        <v>27</v>
      </c>
      <c r="C41" s="3">
        <f>在此导入!C22</f>
        <v>74.158288123613147</v>
      </c>
      <c r="D41" s="2">
        <v>40</v>
      </c>
      <c r="E41">
        <f t="shared" si="1"/>
        <v>0.2966331524944526</v>
      </c>
      <c r="F41">
        <v>0</v>
      </c>
      <c r="G41">
        <f t="shared" si="5"/>
        <v>0</v>
      </c>
      <c r="H41">
        <f t="shared" si="2"/>
        <v>0</v>
      </c>
      <c r="I41">
        <f t="shared" si="3"/>
        <v>0</v>
      </c>
      <c r="J41">
        <f t="shared" si="4"/>
        <v>0.2966331524944526</v>
      </c>
    </row>
    <row r="42" spans="1:10" ht="15.6" x14ac:dyDescent="0.25">
      <c r="B42" s="2" t="s">
        <v>28</v>
      </c>
      <c r="C42" s="3">
        <f>在此导入!C23</f>
        <v>49.683406352769509</v>
      </c>
      <c r="D42" s="2">
        <v>40</v>
      </c>
      <c r="E42">
        <f t="shared" si="1"/>
        <v>0.19873362541107803</v>
      </c>
      <c r="F42">
        <v>0</v>
      </c>
      <c r="G42">
        <f t="shared" si="5"/>
        <v>0</v>
      </c>
      <c r="H42">
        <f t="shared" si="2"/>
        <v>0</v>
      </c>
      <c r="I42">
        <f t="shared" si="3"/>
        <v>0</v>
      </c>
      <c r="J42">
        <f t="shared" si="4"/>
        <v>0.19873362541107803</v>
      </c>
    </row>
    <row r="43" spans="1:10" ht="15.6" x14ac:dyDescent="0.25">
      <c r="B43" s="2" t="s">
        <v>29</v>
      </c>
      <c r="C43" s="3">
        <f>在此导入!C24</f>
        <v>72.109488698105679</v>
      </c>
      <c r="D43" s="2">
        <v>40</v>
      </c>
      <c r="E43">
        <f>C43*D43/10000</f>
        <v>0.28843795479242273</v>
      </c>
      <c r="F43">
        <v>0</v>
      </c>
      <c r="G43">
        <f t="shared" si="5"/>
        <v>0</v>
      </c>
      <c r="H43">
        <f t="shared" si="2"/>
        <v>0</v>
      </c>
      <c r="I43">
        <f t="shared" si="3"/>
        <v>0</v>
      </c>
      <c r="J43">
        <f t="shared" si="4"/>
        <v>0.28843795479242273</v>
      </c>
    </row>
    <row r="44" spans="1:10" ht="15.6" x14ac:dyDescent="0.25">
      <c r="B44" s="2" t="s">
        <v>30</v>
      </c>
      <c r="C44" s="3">
        <f>在此导入!C25</f>
        <v>62.52535100527259</v>
      </c>
      <c r="D44" s="2">
        <v>40</v>
      </c>
      <c r="E44">
        <f>C44*D44/10000</f>
        <v>0.25010140402109038</v>
      </c>
      <c r="F44">
        <v>0</v>
      </c>
      <c r="G44">
        <f t="shared" si="5"/>
        <v>0</v>
      </c>
      <c r="H44">
        <f t="shared" si="2"/>
        <v>0</v>
      </c>
      <c r="I44">
        <f t="shared" si="3"/>
        <v>0</v>
      </c>
      <c r="J44">
        <f t="shared" si="4"/>
        <v>0.25010140402109038</v>
      </c>
    </row>
    <row r="45" spans="1:10" ht="15.6" x14ac:dyDescent="0.25">
      <c r="B45" s="2" t="s">
        <v>31</v>
      </c>
      <c r="C45" s="3">
        <f>在此导入!C26</f>
        <v>22.021325609334536</v>
      </c>
      <c r="D45" s="2">
        <v>40</v>
      </c>
      <c r="E45">
        <f>C45*D45/10000</f>
        <v>8.8085302437338142E-2</v>
      </c>
      <c r="F45">
        <v>0</v>
      </c>
      <c r="G45">
        <f t="shared" si="5"/>
        <v>0</v>
      </c>
      <c r="H45">
        <f t="shared" si="2"/>
        <v>0</v>
      </c>
      <c r="I45">
        <f t="shared" si="3"/>
        <v>0</v>
      </c>
      <c r="J45">
        <f t="shared" si="4"/>
        <v>8.8085302437338142E-2</v>
      </c>
    </row>
    <row r="46" spans="1:10" ht="15.6" x14ac:dyDescent="0.25">
      <c r="B46" s="2" t="s">
        <v>33</v>
      </c>
      <c r="C46" s="3">
        <f>在此导入!C29</f>
        <v>20.581325609334531</v>
      </c>
      <c r="D46" s="2">
        <v>40</v>
      </c>
      <c r="E46">
        <f>C46*D46/10000</f>
        <v>8.2325302437338127E-2</v>
      </c>
      <c r="F46">
        <v>0</v>
      </c>
      <c r="G46">
        <f t="shared" si="5"/>
        <v>0</v>
      </c>
      <c r="H46">
        <f t="shared" si="2"/>
        <v>0</v>
      </c>
      <c r="I46">
        <f t="shared" si="3"/>
        <v>0</v>
      </c>
      <c r="J46">
        <f t="shared" si="4"/>
        <v>8.2325302437338127E-2</v>
      </c>
    </row>
    <row r="47" spans="1:10" x14ac:dyDescent="0.25">
      <c r="A47" t="s">
        <v>58</v>
      </c>
      <c r="D47" s="2">
        <v>10000</v>
      </c>
      <c r="E47">
        <f t="shared" ref="E47:I47" si="7">SUM(E3:E46)</f>
        <v>19.822108878663865</v>
      </c>
      <c r="F47">
        <f t="shared" si="7"/>
        <v>12400</v>
      </c>
      <c r="G47">
        <f t="shared" si="7"/>
        <v>526.13</v>
      </c>
      <c r="H47">
        <f t="shared" si="2"/>
        <v>4.9983232204048406E-2</v>
      </c>
      <c r="I47">
        <f t="shared" si="7"/>
        <v>2.9269169137241855</v>
      </c>
      <c r="J47">
        <f>SUM(J3:J46)</f>
        <v>22.749025792388053</v>
      </c>
    </row>
    <row r="48" spans="1:10" x14ac:dyDescent="0.25">
      <c r="D48" s="2"/>
    </row>
    <row r="49" spans="1:6" x14ac:dyDescent="0.25">
      <c r="A49" s="6" t="s">
        <v>330</v>
      </c>
      <c r="B49" s="6" t="s">
        <v>80</v>
      </c>
      <c r="C49">
        <f>J47/2</f>
        <v>11.374512896194027</v>
      </c>
      <c r="D49" s="6" t="s">
        <v>81</v>
      </c>
    </row>
    <row r="50" spans="1:6" x14ac:dyDescent="0.25">
      <c r="B50" s="6" t="s">
        <v>82</v>
      </c>
      <c r="C50">
        <f>$C$49*30%</f>
        <v>3.412353868858208</v>
      </c>
      <c r="D50" s="7" t="s">
        <v>81</v>
      </c>
      <c r="E50" s="6" t="s">
        <v>331</v>
      </c>
      <c r="F50">
        <f>$C$49*20%</f>
        <v>2.2749025792388053</v>
      </c>
    </row>
    <row r="51" spans="1:6" x14ac:dyDescent="0.25">
      <c r="B51" s="6" t="s">
        <v>318</v>
      </c>
      <c r="C51">
        <f>C50/在此导入!C67</f>
        <v>947.87607468283556</v>
      </c>
      <c r="D51" s="7" t="s">
        <v>319</v>
      </c>
      <c r="F51">
        <f>F50/在此导入!C67</f>
        <v>631.91738312189034</v>
      </c>
    </row>
    <row r="52" spans="1:6" x14ac:dyDescent="0.25">
      <c r="B52" s="6" t="s">
        <v>318</v>
      </c>
      <c r="C52">
        <f>C51*((在此导入!G5+在此导入!G6)/在此导入!G4)</f>
        <v>990.67315497788002</v>
      </c>
      <c r="D52" s="7" t="s">
        <v>325</v>
      </c>
      <c r="F52">
        <f>F51*((在此导入!G5+在此导入!G6)/在此导入!G4)</f>
        <v>660.44876998525331</v>
      </c>
    </row>
    <row r="53" spans="1:6" x14ac:dyDescent="0.25">
      <c r="B53" s="6" t="s">
        <v>318</v>
      </c>
      <c r="C53" s="10">
        <f>C52/8000</f>
        <v>0.123834144372235</v>
      </c>
      <c r="D53" s="7" t="s">
        <v>326</v>
      </c>
      <c r="E53" s="6"/>
      <c r="F53" s="10">
        <f>F52/8000</f>
        <v>8.2556096248156657E-2</v>
      </c>
    </row>
    <row r="55" spans="1:6" x14ac:dyDescent="0.25">
      <c r="D55" s="2"/>
    </row>
    <row r="56" spans="1:6" x14ac:dyDescent="0.25">
      <c r="D56" s="2"/>
    </row>
    <row r="57" spans="1:6" x14ac:dyDescent="0.25">
      <c r="D57" s="2"/>
    </row>
  </sheetData>
  <mergeCells count="1">
    <mergeCell ref="A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在此导入</vt:lpstr>
      <vt:lpstr>计算表</vt:lpstr>
      <vt:lpstr>计算表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Th</dc:creator>
  <cp:lastModifiedBy>hT Th</cp:lastModifiedBy>
  <dcterms:created xsi:type="dcterms:W3CDTF">2026-10-08T15:51:49Z</dcterms:created>
  <dcterms:modified xsi:type="dcterms:W3CDTF">2026-10-12T15:07:54Z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4347be1225cb4c0bb97b0a3e889e4979</vt:lpwstr>
  </property>
</Properties>
</file>